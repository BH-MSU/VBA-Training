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mingmin\Desktop\MSU VBA Training Materials\"/>
    </mc:Choice>
  </mc:AlternateContent>
  <bookViews>
    <workbookView xWindow="0" yWindow="0" windowWidth="20490" windowHeight="9045" tabRatio="766"/>
  </bookViews>
  <sheets>
    <sheet name="Basic_Cell_Ref" sheetId="1" r:id="rId1"/>
    <sheet name="Find_Value" sheetId="2" r:id="rId2"/>
    <sheet name="Cell_Formula" sheetId="5" r:id="rId3"/>
    <sheet name="Rng_Operation" sheetId="8" r:id="rId4"/>
    <sheet name="Other" sheetId="4" r:id="rId5"/>
    <sheet name="Summary" sheetId="6" r:id="rId6"/>
    <sheet name="Homework" sheetId="7" r:id="rId7"/>
  </sheets>
  <definedNames>
    <definedName name="_xlnm._FilterDatabase" localSheetId="3" hidden="1">Rng_Operation!$M$19:$M$34</definedName>
    <definedName name="_xlnm._FilterDatabase" localSheetId="5" hidden="1">Summary!$B$2:$F$76</definedName>
    <definedName name="_xlnm.Criteria" localSheetId="3">Rng_Operation!$M$19:$N$34</definedName>
    <definedName name="_xlnm.Extract" localSheetId="3">Rng_Operation!#REF!</definedName>
    <definedName name="Test">Basic_Cell_Ref!#REF!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7" l="1"/>
  <c r="N6" i="2" l="1"/>
  <c r="N5" i="2"/>
  <c r="N4" i="2"/>
</calcChain>
</file>

<file path=xl/sharedStrings.xml><?xml version="1.0" encoding="utf-8"?>
<sst xmlns="http://schemas.openxmlformats.org/spreadsheetml/2006/main" count="526" uniqueCount="282">
  <si>
    <t>- Return a random number in M3 and M4</t>
  </si>
  <si>
    <t>- Select ranges from I3 to J4 and from K5 to L6</t>
  </si>
  <si>
    <r>
      <t xml:space="preserve">- Fill number 10 in the </t>
    </r>
    <r>
      <rPr>
        <u/>
        <sz val="11"/>
        <color theme="1"/>
        <rFont val="Calibri"/>
        <family val="2"/>
        <scheme val="minor"/>
      </rPr>
      <t>intersection</t>
    </r>
    <r>
      <rPr>
        <sz val="11"/>
        <color theme="1"/>
        <rFont val="Calibri"/>
        <family val="2"/>
        <scheme val="minor"/>
      </rPr>
      <t xml:space="preserve"> of M5: N5 and N3: O6</t>
    </r>
  </si>
  <si>
    <r>
      <t xml:space="preserve">- Set the format of cells N5 and M4 to </t>
    </r>
    <r>
      <rPr>
        <i/>
        <sz val="11"/>
        <color theme="1"/>
        <rFont val="Calibri"/>
        <family val="2"/>
        <scheme val="minor"/>
      </rPr>
      <t>italic</t>
    </r>
  </si>
  <si>
    <t xml:space="preserve"> - Fill data in a diagonal</t>
  </si>
  <si>
    <t>- Fill a string in Cell J12</t>
  </si>
  <si>
    <t>- Resize Cell J17 to a 2*3 range</t>
  </si>
  <si>
    <t>- Activate the range at bottom right corner of range J14:K14</t>
  </si>
  <si>
    <t>- Go to Range J2:K2 in Worksheet "Find_Value" and fill strings</t>
  </si>
  <si>
    <t>Find Value at Certain Position</t>
  </si>
  <si>
    <t xml:space="preserve"> - Find the last nonempty cell in Column J</t>
  </si>
  <si>
    <t xml:space="preserve"> - Find the last nonempty cell in Row 4</t>
  </si>
  <si>
    <t>Find Special Cell Input</t>
  </si>
  <si>
    <t>- Find constants position in used ranges</t>
  </si>
  <si>
    <t>- Find formula position in the data frame in Range J4:N6</t>
  </si>
  <si>
    <t>Find Value Following Certain Criteria</t>
  </si>
  <si>
    <t>- Find values using "FIND" function</t>
  </si>
  <si>
    <t>William</t>
  </si>
  <si>
    <t>Johnny</t>
  </si>
  <si>
    <t>Penny</t>
  </si>
  <si>
    <t>Shelton</t>
  </si>
  <si>
    <t>Rajesh</t>
  </si>
  <si>
    <t>Amy</t>
  </si>
  <si>
    <t>Leonard</t>
  </si>
  <si>
    <t>Peter</t>
  </si>
  <si>
    <t>Fanny</t>
  </si>
  <si>
    <t>Kerwin</t>
  </si>
  <si>
    <t>- Find cells containing "a" using "LIKE" function</t>
  </si>
  <si>
    <t>Phy. test</t>
  </si>
  <si>
    <t>chem. test</t>
  </si>
  <si>
    <t>eng. test</t>
  </si>
  <si>
    <t>chin.test</t>
  </si>
  <si>
    <t>stat. test</t>
  </si>
  <si>
    <t>- Replace "test" by "exam" in specified range</t>
  </si>
  <si>
    <t>math. test</t>
  </si>
  <si>
    <t>Replace Strings with Specified Value</t>
  </si>
  <si>
    <t>ID</t>
  </si>
  <si>
    <t>Wage</t>
  </si>
  <si>
    <t>- Copy the specified range and paste to another place</t>
  </si>
  <si>
    <t>- Copy a range and paste with values and same column width</t>
  </si>
  <si>
    <t>Cell Reference by Range Property</t>
  </si>
  <si>
    <t>Cell Reference by Cell Property</t>
  </si>
  <si>
    <t>Cell Reference by Offset Property</t>
  </si>
  <si>
    <t>Cell Reference by GoTo Method</t>
  </si>
  <si>
    <t>Set Cell Format</t>
  </si>
  <si>
    <t>Copy Ranges / Cells</t>
  </si>
  <si>
    <t>- Set font style</t>
  </si>
  <si>
    <t>VBA Training is important!</t>
  </si>
  <si>
    <t>- Set range interior format</t>
  </si>
  <si>
    <t>- Set borders</t>
  </si>
  <si>
    <t>Set Data Validation Rules</t>
  </si>
  <si>
    <t>- Set up a list in following 5 cells below Cell J11</t>
  </si>
  <si>
    <t>- Check if Cell J12 contains data validation</t>
  </si>
  <si>
    <t>Add a dropdown list below:</t>
  </si>
  <si>
    <t>Count</t>
  </si>
  <si>
    <t>Price</t>
  </si>
  <si>
    <t>Total.M1</t>
  </si>
  <si>
    <t>Total.M2</t>
  </si>
  <si>
    <t>Compute by Enter Formulas in Ranges</t>
  </si>
  <si>
    <t xml:space="preserve"> - Compute with Range.FormulaR1C1 Property (Range M4:M11)</t>
  </si>
  <si>
    <t xml:space="preserve"> - Compute with Range.Formula Property (Range L4:L12)</t>
  </si>
  <si>
    <t xml:space="preserve"> - Compute with Range.FormulaArray Property (Cell M12)</t>
  </si>
  <si>
    <t>Check Existence of Formula in Ranges</t>
  </si>
  <si>
    <t>- Check the existence of formula in Range L4:M11</t>
  </si>
  <si>
    <t>- Check the validity of formula in Cell M12</t>
  </si>
  <si>
    <t>- Returns the ranges referred by the Formula in Cell M12</t>
  </si>
  <si>
    <t>Add Comment to Specialized Range</t>
  </si>
  <si>
    <t>- Add comment to Cell J11</t>
  </si>
  <si>
    <t>Merge and Split Ranges</t>
  </si>
  <si>
    <t>- Check if there is merged cells in Range J18</t>
  </si>
  <si>
    <t>- Determine the existence of merged cells in Range J18:N19</t>
  </si>
  <si>
    <t>MSU</t>
  </si>
  <si>
    <t>VBA</t>
  </si>
  <si>
    <t>Training</t>
  </si>
  <si>
    <t>- Merge cells L18:M19 and combinine their values</t>
  </si>
  <si>
    <t>EXCEL</t>
  </si>
  <si>
    <t>Depart.</t>
  </si>
  <si>
    <t>Name</t>
  </si>
  <si>
    <t>Account</t>
  </si>
  <si>
    <t>Bye</t>
  </si>
  <si>
    <t>Ciao</t>
  </si>
  <si>
    <t>Au Revoir</t>
  </si>
  <si>
    <t>Sayonara</t>
  </si>
  <si>
    <t>- Merge adjacent cells with same content in Range O19:O22</t>
  </si>
  <si>
    <t>- Split Merged Cells in Range R19:R22</t>
  </si>
  <si>
    <t>Priority</t>
  </si>
  <si>
    <t>Worksheet</t>
  </si>
  <si>
    <t>Basic_Cell_Ref</t>
  </si>
  <si>
    <t>Cell Reference by Fast Mark</t>
  </si>
  <si>
    <t>Range.Select Method</t>
  </si>
  <si>
    <t>Range.Value Property</t>
  </si>
  <si>
    <t>Data Type</t>
  </si>
  <si>
    <t>Cells Property</t>
  </si>
  <si>
    <t>For…Next… Statement</t>
  </si>
  <si>
    <t>Good to Know</t>
  </si>
  <si>
    <t>Essential</t>
  </si>
  <si>
    <t>FastMark []</t>
  </si>
  <si>
    <t>Object.Activate Method</t>
  </si>
  <si>
    <t>Range.Offset Property</t>
  </si>
  <si>
    <t>Necessary</t>
  </si>
  <si>
    <t>Cell Reference by Resize Property</t>
  </si>
  <si>
    <t>Range.Resize Property</t>
  </si>
  <si>
    <t>Application.Goto Method</t>
  </si>
  <si>
    <t>Remark</t>
  </si>
  <si>
    <t>Notice the functionality of parameter "Scroll"</t>
  </si>
  <si>
    <t>Find_Value</t>
  </si>
  <si>
    <t>Range.CurrentRegion Property</t>
  </si>
  <si>
    <t>Rows.Count</t>
  </si>
  <si>
    <t>Assignment</t>
  </si>
  <si>
    <t>Difference between value and range assignment</t>
  </si>
  <si>
    <t>Difference between Rows and Row in VBA</t>
  </si>
  <si>
    <t>Range.End Property</t>
  </si>
  <si>
    <t>Columns.Count</t>
  </si>
  <si>
    <t>Difference between Columns and Column in VBA</t>
  </si>
  <si>
    <t>Equivalence of keyboard operation</t>
  </si>
  <si>
    <t>MsgBox Function</t>
  </si>
  <si>
    <t>Range.SpecialCells Property</t>
  </si>
  <si>
    <t>Range.UsedRange Property</t>
  </si>
  <si>
    <t>InputBox Function</t>
  </si>
  <si>
    <t>Len Function</t>
  </si>
  <si>
    <t>Trim Function</t>
  </si>
  <si>
    <t>With Statement</t>
  </si>
  <si>
    <t>Notice the ending of With Statement: End With</t>
  </si>
  <si>
    <t>Worth keeping in mind how to use each parameters</t>
  </si>
  <si>
    <t>Like Operator</t>
  </si>
  <si>
    <t>Range.Find Method</t>
  </si>
  <si>
    <t>If…Then…Else Statement</t>
  </si>
  <si>
    <t>Is Nothing Method</t>
  </si>
  <si>
    <t>Not Operator</t>
  </si>
  <si>
    <t>Range.Row Property</t>
  </si>
  <si>
    <t>Range.Column Property</t>
  </si>
  <si>
    <t>Range.Address</t>
  </si>
  <si>
    <t>Notice the position of Not</t>
  </si>
  <si>
    <t>" _" Operator</t>
  </si>
  <si>
    <t>Range.FindNext Method</t>
  </si>
  <si>
    <t>Must be used along with Range.Find Method</t>
  </si>
  <si>
    <t>Alternative statement: Do While/Until … Loop</t>
  </si>
  <si>
    <t>Do…Loop While/Until… Statement</t>
  </si>
  <si>
    <t>And/Or Operator</t>
  </si>
  <si>
    <t>Similar parameters as Range.Find Method</t>
  </si>
  <si>
    <t>Range.Replace Method</t>
  </si>
  <si>
    <t>Cell_Formula</t>
  </si>
  <si>
    <t>Practice</t>
  </si>
  <si>
    <t>Range.Formula Property</t>
  </si>
  <si>
    <t>Be aware of A1-Style</t>
  </si>
  <si>
    <t>Range.FormulaR1C1 Property</t>
  </si>
  <si>
    <t>Be aware of R1C1-Style</t>
  </si>
  <si>
    <t>Range.FormulaArray Property</t>
  </si>
  <si>
    <t>Compare to the 2 properties above</t>
  </si>
  <si>
    <t>Compare to .Select Method</t>
  </si>
  <si>
    <t>Select Case Statement</t>
  </si>
  <si>
    <t>Compare to If…Then…Else… Statement</t>
  </si>
  <si>
    <t>IsError Function</t>
  </si>
  <si>
    <t>Range.HasFormula Property</t>
  </si>
  <si>
    <t>Range.Precedents Property</t>
  </si>
  <si>
    <t>Compare to .CurrentRegion</t>
  </si>
  <si>
    <t>Range.Text</t>
  </si>
  <si>
    <t>Compare to Range.Value</t>
  </si>
  <si>
    <t>vbCrLf Operator</t>
  </si>
  <si>
    <t>Other</t>
  </si>
  <si>
    <t>Range.Copy Method</t>
  </si>
  <si>
    <t>Range.PasteSpecial Method</t>
  </si>
  <si>
    <t>Range.Font Property</t>
  </si>
  <si>
    <t>Range.Interior Property</t>
  </si>
  <si>
    <t>Range.Borders Property</t>
  </si>
  <si>
    <t>Worth knowing the related property</t>
  </si>
  <si>
    <t>Be aware of setting inside borders</t>
  </si>
  <si>
    <t>Range.Validation Property</t>
  </si>
  <si>
    <t>On Error Statement</t>
  </si>
  <si>
    <t>GoTo Statement</t>
  </si>
  <si>
    <t>2 kinds of Frequently used "On Error" Statement</t>
  </si>
  <si>
    <t>Compare to Application.Goto Method; Disadvantage</t>
  </si>
  <si>
    <t>Worth knowing its parameters and its related properties</t>
  </si>
  <si>
    <t>Range.Comment.Delete Method</t>
  </si>
  <si>
    <t>Range.Comment.Visible Method</t>
  </si>
  <si>
    <t>Range.Add.Comment Method</t>
  </si>
  <si>
    <t>Date Function</t>
  </si>
  <si>
    <t>Dim…As… Statement</t>
  </si>
  <si>
    <t>Be aware of the condition of using this statement</t>
  </si>
  <si>
    <t>Range.MergeCells Property</t>
  </si>
  <si>
    <t>3 cases that influence the return value of this property</t>
  </si>
  <si>
    <t>Application.DisplayAlerts Property</t>
  </si>
  <si>
    <t>Always comes in pair: switch on / switch off</t>
  </si>
  <si>
    <t>Range.Merge Method</t>
  </si>
  <si>
    <t>Range.WrapText Method</t>
  </si>
  <si>
    <t>Range.UnMerge Method</t>
  </si>
  <si>
    <t>Range.MergeArea Property</t>
  </si>
  <si>
    <t>Be aware of the use of Range.MergeArea.Count</t>
  </si>
  <si>
    <t>Option Explicit Statement‎ </t>
  </si>
  <si>
    <t>Carline</t>
  </si>
  <si>
    <t>Fiesta</t>
  </si>
  <si>
    <t>Focus</t>
  </si>
  <si>
    <t>Ranger</t>
  </si>
  <si>
    <t>Mondeo</t>
  </si>
  <si>
    <t>Edge</t>
  </si>
  <si>
    <t>Kuga</t>
  </si>
  <si>
    <t>EcoSport</t>
  </si>
  <si>
    <t>Endeavor</t>
  </si>
  <si>
    <t>Mustang</t>
  </si>
  <si>
    <t>Foreverest</t>
  </si>
  <si>
    <t>Ad Spends (M $)</t>
  </si>
  <si>
    <t>Sales (M $)</t>
  </si>
  <si>
    <t>Point</t>
  </si>
  <si>
    <t>Follow the instructions below and complete the homework by VBA</t>
  </si>
  <si>
    <t>1. Create a new module in VBE and write code to realize requirements below</t>
  </si>
  <si>
    <r>
      <t xml:space="preserve">2. Calculate the total Ad spends using </t>
    </r>
    <r>
      <rPr>
        <b/>
        <u/>
        <sz val="10"/>
        <color theme="1"/>
        <rFont val="Calibri"/>
        <family val="2"/>
        <scheme val="minor"/>
      </rPr>
      <t>FormulaR1C1 - Relative Reference</t>
    </r>
    <r>
      <rPr>
        <sz val="10"/>
        <color theme="1"/>
        <rFont val="Calibri"/>
        <family val="2"/>
        <scheme val="minor"/>
      </rPr>
      <t>, put it at Cell M13</t>
    </r>
  </si>
  <si>
    <r>
      <t xml:space="preserve">3. Calculate the total Sales using </t>
    </r>
    <r>
      <rPr>
        <b/>
        <u/>
        <sz val="10"/>
        <color theme="1"/>
        <rFont val="Calibri"/>
        <family val="2"/>
        <scheme val="minor"/>
      </rPr>
      <t>FormulaR1C1 - Absolute Reference</t>
    </r>
    <r>
      <rPr>
        <sz val="10"/>
        <color theme="1"/>
        <rFont val="Calibri"/>
        <family val="2"/>
        <scheme val="minor"/>
      </rPr>
      <t>, put it at Cell N13</t>
    </r>
  </si>
  <si>
    <t>4. Enter "Total" in Cell L13</t>
  </si>
  <si>
    <r>
      <t xml:space="preserve">6. Calculate the ROI (add title),"Total" incl. using </t>
    </r>
    <r>
      <rPr>
        <b/>
        <u/>
        <sz val="10"/>
        <color theme="1"/>
        <rFont val="Calibri"/>
        <family val="2"/>
        <scheme val="minor"/>
      </rPr>
      <t>Formula Property</t>
    </r>
    <r>
      <rPr>
        <sz val="10"/>
        <color theme="1"/>
        <rFont val="Calibri"/>
        <family val="2"/>
        <scheme val="minor"/>
      </rPr>
      <t xml:space="preserve"> (Sales / Ad Spends)</t>
    </r>
  </si>
  <si>
    <r>
      <t xml:space="preserve">7. Copy Range </t>
    </r>
    <r>
      <rPr>
        <u/>
        <sz val="10"/>
        <color theme="1"/>
        <rFont val="Calibri"/>
        <family val="2"/>
        <scheme val="minor"/>
      </rPr>
      <t>L2:O12</t>
    </r>
    <r>
      <rPr>
        <sz val="10"/>
        <color theme="1"/>
        <rFont val="Calibri"/>
        <family val="2"/>
        <scheme val="minor"/>
      </rPr>
      <t xml:space="preserve"> to the place below (start from Range L14), </t>
    </r>
    <r>
      <rPr>
        <b/>
        <u/>
        <sz val="10"/>
        <color theme="1"/>
        <rFont val="Calibri"/>
        <family val="2"/>
        <scheme val="minor"/>
      </rPr>
      <t>keep values only</t>
    </r>
  </si>
  <si>
    <r>
      <t xml:space="preserve">8. Set the cells color of carlines (in 2nd table, column L) with </t>
    </r>
    <r>
      <rPr>
        <b/>
        <u/>
        <sz val="10"/>
        <color theme="1"/>
        <rFont val="Calibri"/>
        <family val="2"/>
        <scheme val="minor"/>
      </rPr>
      <t>ROI &gt; 3</t>
    </r>
    <r>
      <rPr>
        <sz val="10"/>
        <color theme="1"/>
        <rFont val="Calibri"/>
        <family val="2"/>
        <scheme val="minor"/>
      </rPr>
      <t xml:space="preserve"> to </t>
    </r>
    <r>
      <rPr>
        <b/>
        <u/>
        <sz val="10"/>
        <color theme="1"/>
        <rFont val="Calibri"/>
        <family val="2"/>
        <scheme val="minor"/>
      </rPr>
      <t>RGB(200,200,200)</t>
    </r>
  </si>
  <si>
    <t>9. Set a message box saying "Every Operation Is Done!"</t>
  </si>
  <si>
    <t>10. Assign the process you create to the button "Start Checking VBA Process" below</t>
  </si>
  <si>
    <t>Total Point</t>
  </si>
  <si>
    <t>The Format of A VBA Process</t>
  </si>
  <si>
    <r>
      <t xml:space="preserve">5. Add a column in Column O to the existed table, </t>
    </r>
    <r>
      <rPr>
        <b/>
        <u/>
        <sz val="10"/>
        <color theme="1"/>
        <rFont val="Calibri"/>
        <family val="2"/>
        <scheme val="minor"/>
      </rPr>
      <t>keep the same format</t>
    </r>
    <r>
      <rPr>
        <sz val="10"/>
        <color theme="1"/>
        <rFont val="Calibri"/>
        <family val="2"/>
        <scheme val="minor"/>
      </rPr>
      <t xml:space="preserve"> (column width)</t>
    </r>
  </si>
  <si>
    <t>Concept &amp; Tips</t>
  </si>
  <si>
    <t>Cut Ranges / Cells</t>
  </si>
  <si>
    <t>Copy and Paste Ranges / Cells</t>
  </si>
  <si>
    <t>- Cut and move range J2:M6 to O8:R12</t>
  </si>
  <si>
    <t>- Cut O8:R12 to clipboard and paste to T8:W12</t>
  </si>
  <si>
    <t>- Insert 3 rows using For…Next… loop</t>
  </si>
  <si>
    <t>- Insert 3 rows method 2: Range().EntireRow.Resize()</t>
  </si>
  <si>
    <t>- Insert 3 rows method 3: Rows().Resize</t>
  </si>
  <si>
    <t>- Insert 3 columns</t>
  </si>
  <si>
    <t>- Insert a cell before Cell K15</t>
  </si>
  <si>
    <t>- Insert a cell above Cell J16</t>
  </si>
  <si>
    <t>Insert Ranges / Rows / Columns</t>
  </si>
  <si>
    <t>Delete Ranges / Rows / Columns</t>
  </si>
  <si>
    <t>- Delete numbers in Columns AA:AG</t>
  </si>
  <si>
    <t>- Delete blank rows in Rows 51:60</t>
  </si>
  <si>
    <t>- Delete rows which contains number 6 in Range A51:A60</t>
  </si>
  <si>
    <t>Team</t>
  </si>
  <si>
    <t>Rooney</t>
  </si>
  <si>
    <t>Mata</t>
  </si>
  <si>
    <t>Carrick</t>
  </si>
  <si>
    <t>Hazard</t>
  </si>
  <si>
    <t>Costa</t>
  </si>
  <si>
    <t>Terry</t>
  </si>
  <si>
    <t>Man Utd</t>
  </si>
  <si>
    <t>Chelsea</t>
  </si>
  <si>
    <t>Liverpool</t>
  </si>
  <si>
    <t>Arsenal</t>
  </si>
  <si>
    <t>Man City</t>
  </si>
  <si>
    <t>Aguire</t>
  </si>
  <si>
    <t>Nasri</t>
  </si>
  <si>
    <t>Balotelli</t>
  </si>
  <si>
    <t>Ozil</t>
  </si>
  <si>
    <t>Ramsey</t>
  </si>
  <si>
    <t>Giroud</t>
  </si>
  <si>
    <t>Toure</t>
  </si>
  <si>
    <t>Sturrigde</t>
  </si>
  <si>
    <t>Sterling</t>
  </si>
  <si>
    <t>Player Stats</t>
  </si>
  <si>
    <t>- Add filter to the table at right, select Man Uted and Man City</t>
  </si>
  <si>
    <t>- Based on the filter result above, select player stats &gt; 8600</t>
  </si>
  <si>
    <t>- Remove the filter</t>
  </si>
  <si>
    <t>- Filter the distinct team name and copy to column U</t>
  </si>
  <si>
    <t>Filter, Advanced Filter and Sort</t>
  </si>
  <si>
    <t>- Sort the table at right by Player Stats and by descending order</t>
  </si>
  <si>
    <t>Hide and Unhide</t>
  </si>
  <si>
    <t>- Copy the filtered result only to Columns R:W</t>
  </si>
  <si>
    <t>- Hide Columns R:W</t>
  </si>
  <si>
    <t>- Unhide Columns R:W</t>
  </si>
  <si>
    <t>Depart</t>
  </si>
  <si>
    <t>Title</t>
  </si>
  <si>
    <t>mgr</t>
  </si>
  <si>
    <t>- Delete content in Ranges J41:J42, J52:J53</t>
  </si>
  <si>
    <t>Rng_Operation</t>
  </si>
  <si>
    <t>Range.Cut Method</t>
  </si>
  <si>
    <t>Range.Insert Method</t>
  </si>
  <si>
    <t>Range.Delete Method</t>
  </si>
  <si>
    <t>Range.SpecialCells</t>
  </si>
  <si>
    <t>Range.AutoFilter Method</t>
  </si>
  <si>
    <t>Filter using different values of parameter Operator</t>
  </si>
  <si>
    <t>Create / Remove Filter</t>
  </si>
  <si>
    <t>Almost the same way</t>
  </si>
  <si>
    <t>Range.AdvancedFilter Method</t>
  </si>
  <si>
    <t>Key parameters</t>
  </si>
  <si>
    <t>Range.Sort Method</t>
  </si>
  <si>
    <t>Range.Hidden Method</t>
  </si>
  <si>
    <t>True / 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</si>
</sst>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0"/>
      <name val="Calibri"/>
      <family val="2"/>
      <scheme val="minor"/>
    </font>
    <font>
      <b/>
      <sz val="11"/>
      <color theme="0"/>
      <name val="Cambria"/>
      <family val="1"/>
    </font>
    <font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 tint="0.499984740745262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n">
        <color theme="2" tint="-9.9948118533890809E-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 style="dashDotDot">
        <color rgb="FF0070C0"/>
      </left>
      <right style="dashDotDot">
        <color rgb="FF0070C0"/>
      </right>
      <top style="thin">
        <color rgb="FF0070C0"/>
      </top>
      <bottom/>
      <diagonal/>
    </border>
    <border>
      <left style="dashDotDot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dashDotDot">
        <color rgb="FF0070C0"/>
      </right>
      <top/>
      <bottom/>
      <diagonal/>
    </border>
    <border>
      <left style="dashDotDot">
        <color rgb="FF0070C0"/>
      </left>
      <right style="thin">
        <color rgb="FF0070C0"/>
      </right>
      <top/>
      <bottom/>
      <diagonal/>
    </border>
    <border>
      <left style="thin">
        <color rgb="FF0070C0"/>
      </left>
      <right style="dashDotDot">
        <color rgb="FF0070C0"/>
      </right>
      <top/>
      <bottom style="thin">
        <color rgb="FF0070C0"/>
      </bottom>
      <diagonal/>
    </border>
    <border>
      <left style="dashDotDot">
        <color rgb="FF0070C0"/>
      </left>
      <right style="thin">
        <color rgb="FF0070C0"/>
      </right>
      <top/>
      <bottom style="thin">
        <color rgb="FF0070C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theme="1" tint="0.499984740745262"/>
      </left>
      <right style="dashDotDot">
        <color theme="1" tint="0.499984740745262"/>
      </right>
      <top style="thin">
        <color theme="1" tint="0.499984740745262"/>
      </top>
      <bottom/>
      <diagonal/>
    </border>
    <border>
      <left style="dashDotDot">
        <color theme="1" tint="0.499984740745262"/>
      </left>
      <right style="dashDotDot">
        <color theme="1" tint="0.499984740745262"/>
      </right>
      <top style="thin">
        <color theme="1" tint="0.499984740745262"/>
      </top>
      <bottom/>
      <diagonal/>
    </border>
    <border>
      <left style="dashDotDot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dashDotDot">
        <color theme="1" tint="0.499984740745262"/>
      </right>
      <top/>
      <bottom/>
      <diagonal/>
    </border>
    <border>
      <left style="dashDotDot">
        <color theme="1" tint="0.499984740745262"/>
      </left>
      <right style="dashDotDot">
        <color theme="1" tint="0.499984740745262"/>
      </right>
      <top/>
      <bottom/>
      <diagonal/>
    </border>
    <border>
      <left style="dashDotDot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dashDotDot">
        <color theme="1" tint="0.499984740745262"/>
      </right>
      <top/>
      <bottom style="thin">
        <color theme="1" tint="0.499984740745262"/>
      </bottom>
      <diagonal/>
    </border>
    <border>
      <left style="dashDotDot">
        <color theme="1" tint="0.499984740745262"/>
      </left>
      <right style="dashDotDot">
        <color theme="1" tint="0.499984740745262"/>
      </right>
      <top/>
      <bottom style="thin">
        <color theme="1" tint="0.499984740745262"/>
      </bottom>
      <diagonal/>
    </border>
    <border>
      <left style="dashDotDot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quotePrefix="1"/>
    <xf numFmtId="0" fontId="1" fillId="0" borderId="1" xfId="0" applyFont="1" applyBorder="1"/>
    <xf numFmtId="0" fontId="0" fillId="0" borderId="1" xfId="0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/>
    <xf numFmtId="0" fontId="0" fillId="0" borderId="0" xfId="0" applyBorder="1"/>
    <xf numFmtId="0" fontId="7" fillId="2" borderId="10" xfId="0" applyFont="1" applyFill="1" applyBorder="1" applyAlignment="1">
      <alignment horizontal="center"/>
    </xf>
    <xf numFmtId="0" fontId="7" fillId="2" borderId="11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7" fillId="2" borderId="15" xfId="0" applyFont="1" applyFill="1" applyBorder="1" applyAlignment="1">
      <alignment horizontal="center"/>
    </xf>
    <xf numFmtId="0" fontId="7" fillId="2" borderId="16" xfId="0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1" xfId="0" applyBorder="1"/>
    <xf numFmtId="0" fontId="8" fillId="3" borderId="22" xfId="0" applyFont="1" applyFill="1" applyBorder="1" applyAlignment="1">
      <alignment horizontal="center"/>
    </xf>
    <xf numFmtId="0" fontId="8" fillId="3" borderId="23" xfId="0" applyFont="1" applyFill="1" applyBorder="1" applyAlignment="1">
      <alignment horizontal="center"/>
    </xf>
    <xf numFmtId="0" fontId="8" fillId="3" borderId="24" xfId="0" applyFont="1" applyFill="1" applyBorder="1" applyAlignment="1">
      <alignment horizontal="center"/>
    </xf>
    <xf numFmtId="0" fontId="0" fillId="0" borderId="25" xfId="0" applyBorder="1"/>
    <xf numFmtId="0" fontId="0" fillId="0" borderId="26" xfId="0" applyBorder="1"/>
    <xf numFmtId="0" fontId="0" fillId="0" borderId="26" xfId="0" applyBorder="1" applyAlignment="1">
      <alignment wrapText="1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8" fillId="3" borderId="31" xfId="0" applyFont="1" applyFill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7" fillId="3" borderId="31" xfId="0" applyFont="1" applyFill="1" applyBorder="1" applyAlignment="1">
      <alignment horizontal="center"/>
    </xf>
    <xf numFmtId="0" fontId="0" fillId="0" borderId="37" xfId="0" applyBorder="1"/>
    <xf numFmtId="0" fontId="0" fillId="0" borderId="38" xfId="0" applyBorder="1"/>
    <xf numFmtId="0" fontId="9" fillId="0" borderId="37" xfId="0" applyFont="1" applyBorder="1"/>
    <xf numFmtId="0" fontId="13" fillId="3" borderId="39" xfId="0" applyFont="1" applyFill="1" applyBorder="1"/>
    <xf numFmtId="0" fontId="12" fillId="3" borderId="40" xfId="0" applyFont="1" applyFill="1" applyBorder="1"/>
    <xf numFmtId="0" fontId="12" fillId="3" borderId="41" xfId="0" applyFont="1" applyFill="1" applyBorder="1"/>
    <xf numFmtId="0" fontId="7" fillId="3" borderId="33" xfId="0" applyFont="1" applyFill="1" applyBorder="1"/>
    <xf numFmtId="0" fontId="0" fillId="0" borderId="21" xfId="0" applyBorder="1"/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21" xfId="0" applyBorder="1"/>
    <xf numFmtId="0" fontId="0" fillId="0" borderId="21" xfId="0" applyBorder="1" applyAlignment="1">
      <alignment horizontal="center"/>
    </xf>
    <xf numFmtId="0" fontId="7" fillId="3" borderId="34" xfId="0" applyFont="1" applyFill="1" applyBorder="1" applyAlignment="1">
      <alignment horizontal="center"/>
    </xf>
    <xf numFmtId="0" fontId="7" fillId="3" borderId="35" xfId="0" applyFont="1" applyFill="1" applyBorder="1" applyAlignment="1">
      <alignment horizontal="center"/>
    </xf>
    <xf numFmtId="0" fontId="7" fillId="3" borderId="3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0</xdr:rowOff>
        </xdr:from>
        <xdr:to>
          <xdr:col>8</xdr:col>
          <xdr:colOff>0</xdr:colOff>
          <xdr:row>24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 Desmonstrative Changes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19</xdr:row>
          <xdr:rowOff>0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171450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 Desmonstrative Changes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 Desmonstrative Changes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23</xdr:row>
          <xdr:rowOff>0</xdr:rowOff>
        </xdr:from>
        <xdr:to>
          <xdr:col>8</xdr:col>
          <xdr:colOff>0</xdr:colOff>
          <xdr:row>24</xdr:row>
          <xdr:rowOff>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35</xdr:row>
          <xdr:rowOff>0</xdr:rowOff>
        </xdr:from>
        <xdr:to>
          <xdr:col>8</xdr:col>
          <xdr:colOff>0</xdr:colOff>
          <xdr:row>37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 Desmonstrative Changes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 Desmonstrative Changes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14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Checking VBA Process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8" name="Table8" displayName="Table8" ref="J2:M6" totalsRowShown="0">
  <autoFilter ref="J2:M6"/>
  <tableColumns count="4">
    <tableColumn id="1" name="ID"/>
    <tableColumn id="2" name="Depart"/>
    <tableColumn id="3" name="Title"/>
    <tableColumn id="4" name="W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7" Type="http://schemas.openxmlformats.org/officeDocument/2006/relationships/ctrlProp" Target="../ctrlProps/ctrlProp2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H21"/>
  <sheetViews>
    <sheetView showGridLines="0" tabSelected="1" workbookViewId="0">
      <selection activeCell="I30" sqref="I30"/>
    </sheetView>
  </sheetViews>
  <sheetFormatPr defaultRowHeight="15" x14ac:dyDescent="0.25"/>
  <cols>
    <col min="1" max="2" width="2.85546875" customWidth="1"/>
  </cols>
  <sheetData>
    <row r="2" spans="2:8" x14ac:dyDescent="0.25">
      <c r="B2" s="23" t="s">
        <v>40</v>
      </c>
      <c r="C2" s="3"/>
      <c r="D2" s="3"/>
      <c r="E2" s="3"/>
      <c r="F2" s="24"/>
      <c r="G2" s="24"/>
      <c r="H2" s="3"/>
    </row>
    <row r="3" spans="2:8" x14ac:dyDescent="0.25">
      <c r="C3" s="1" t="s">
        <v>1</v>
      </c>
    </row>
    <row r="4" spans="2:8" x14ac:dyDescent="0.25">
      <c r="C4" s="1" t="s">
        <v>0</v>
      </c>
    </row>
    <row r="5" spans="2:8" x14ac:dyDescent="0.25">
      <c r="C5" s="1" t="s">
        <v>2</v>
      </c>
    </row>
    <row r="6" spans="2:8" x14ac:dyDescent="0.25">
      <c r="C6" s="1" t="s">
        <v>3</v>
      </c>
    </row>
    <row r="8" spans="2:8" x14ac:dyDescent="0.25">
      <c r="B8" s="23" t="s">
        <v>41</v>
      </c>
      <c r="C8" s="3"/>
      <c r="D8" s="3"/>
      <c r="E8" s="3"/>
      <c r="F8" s="3"/>
      <c r="G8" s="3"/>
      <c r="H8" s="3"/>
    </row>
    <row r="9" spans="2:8" x14ac:dyDescent="0.25">
      <c r="C9" s="1" t="s">
        <v>4</v>
      </c>
    </row>
    <row r="11" spans="2:8" x14ac:dyDescent="0.25">
      <c r="B11" s="23" t="s">
        <v>88</v>
      </c>
      <c r="C11" s="3"/>
      <c r="D11" s="3"/>
      <c r="E11" s="3"/>
      <c r="F11" s="3"/>
      <c r="G11" s="3"/>
      <c r="H11" s="3"/>
    </row>
    <row r="12" spans="2:8" x14ac:dyDescent="0.25">
      <c r="C12" s="1" t="s">
        <v>5</v>
      </c>
    </row>
    <row r="14" spans="2:8" x14ac:dyDescent="0.25">
      <c r="B14" s="23" t="s">
        <v>42</v>
      </c>
      <c r="C14" s="3"/>
      <c r="D14" s="3"/>
      <c r="E14" s="3"/>
      <c r="F14" s="3"/>
      <c r="G14" s="3"/>
      <c r="H14" s="3"/>
    </row>
    <row r="15" spans="2:8" x14ac:dyDescent="0.25">
      <c r="C15" s="1" t="s">
        <v>7</v>
      </c>
    </row>
    <row r="17" spans="2:8" x14ac:dyDescent="0.25">
      <c r="B17" s="23" t="s">
        <v>100</v>
      </c>
      <c r="C17" s="3"/>
      <c r="D17" s="3"/>
      <c r="E17" s="3"/>
      <c r="F17" s="3"/>
      <c r="G17" s="3"/>
      <c r="H17" s="3"/>
    </row>
    <row r="18" spans="2:8" x14ac:dyDescent="0.25">
      <c r="C18" s="1" t="s">
        <v>6</v>
      </c>
    </row>
    <row r="20" spans="2:8" x14ac:dyDescent="0.25">
      <c r="B20" s="23" t="s">
        <v>43</v>
      </c>
      <c r="C20" s="3"/>
      <c r="D20" s="3"/>
      <c r="E20" s="3"/>
      <c r="F20" s="3"/>
      <c r="G20" s="3"/>
      <c r="H20" s="3"/>
    </row>
    <row r="21" spans="2:8" x14ac:dyDescent="0.25">
      <c r="C21" s="1" t="s">
        <v>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Rng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yCell">
                <anchor moveWithCells="1" siz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FastMark">
                <anchor moveWithCells="1" siz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ngOffset">
                <anchor moveWithCells="1" siz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RngResize">
                <anchor moveWithCells="1" siz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Recover1">
                <anchor moveWithCells="1" siz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RngGoto">
                <anchor moveWithCells="1" siz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N16"/>
  <sheetViews>
    <sheetView showGridLines="0" workbookViewId="0">
      <selection activeCell="E21" sqref="E21"/>
    </sheetView>
  </sheetViews>
  <sheetFormatPr defaultRowHeight="15" x14ac:dyDescent="0.25"/>
  <cols>
    <col min="1" max="2" width="2.85546875" customWidth="1"/>
    <col min="10" max="14" width="11.42578125" style="4" customWidth="1"/>
    <col min="15" max="20" width="11.42578125" customWidth="1"/>
  </cols>
  <sheetData>
    <row r="2" spans="2:14" x14ac:dyDescent="0.25">
      <c r="B2" s="2" t="s">
        <v>9</v>
      </c>
      <c r="C2" s="3"/>
      <c r="D2" s="3"/>
      <c r="E2" s="3"/>
      <c r="F2" s="3"/>
      <c r="G2" s="3"/>
      <c r="H2" s="3"/>
    </row>
    <row r="3" spans="2:14" x14ac:dyDescent="0.25">
      <c r="C3" s="1" t="s">
        <v>10</v>
      </c>
    </row>
    <row r="4" spans="2:14" x14ac:dyDescent="0.25">
      <c r="C4" s="1" t="s">
        <v>11</v>
      </c>
      <c r="J4" s="5">
        <v>6810.41</v>
      </c>
      <c r="K4" s="6">
        <v>6293.84</v>
      </c>
      <c r="L4" s="6">
        <v>5572.43</v>
      </c>
      <c r="M4" s="6">
        <v>4536.72</v>
      </c>
      <c r="N4" s="7">
        <f>M4+1111.11</f>
        <v>5647.83</v>
      </c>
    </row>
    <row r="5" spans="2:14" x14ac:dyDescent="0.25">
      <c r="J5" s="8">
        <v>5108.53</v>
      </c>
      <c r="K5" s="9">
        <v>6151.19</v>
      </c>
      <c r="L5" s="9">
        <v>5258.89</v>
      </c>
      <c r="M5" s="9">
        <v>2811.43</v>
      </c>
      <c r="N5" s="10">
        <f t="shared" ref="N5:N6" si="0">M5+1111.11</f>
        <v>3922.54</v>
      </c>
    </row>
    <row r="6" spans="2:14" x14ac:dyDescent="0.25">
      <c r="B6" s="2" t="s">
        <v>12</v>
      </c>
      <c r="C6" s="3"/>
      <c r="D6" s="3"/>
      <c r="E6" s="3"/>
      <c r="F6" s="3"/>
      <c r="G6" s="3"/>
      <c r="H6" s="3"/>
      <c r="J6" s="11">
        <v>3910.82</v>
      </c>
      <c r="K6" s="12">
        <v>5588.59</v>
      </c>
      <c r="L6" s="12">
        <v>4723.46</v>
      </c>
      <c r="M6" s="12">
        <v>3232.27</v>
      </c>
      <c r="N6" s="13">
        <f t="shared" si="0"/>
        <v>4343.38</v>
      </c>
    </row>
    <row r="7" spans="2:14" x14ac:dyDescent="0.25">
      <c r="C7" s="1" t="s">
        <v>14</v>
      </c>
    </row>
    <row r="8" spans="2:14" x14ac:dyDescent="0.25">
      <c r="C8" s="1" t="s">
        <v>13</v>
      </c>
    </row>
    <row r="10" spans="2:14" x14ac:dyDescent="0.25">
      <c r="B10" s="2" t="s">
        <v>15</v>
      </c>
      <c r="C10" s="3"/>
      <c r="D10" s="3"/>
      <c r="E10" s="3"/>
      <c r="F10" s="3"/>
      <c r="G10" s="3"/>
      <c r="H10" s="3"/>
      <c r="J10" s="18" t="s">
        <v>17</v>
      </c>
      <c r="K10" s="19" t="s">
        <v>18</v>
      </c>
      <c r="L10" s="19" t="s">
        <v>23</v>
      </c>
      <c r="M10" s="19" t="s">
        <v>19</v>
      </c>
      <c r="N10" s="20" t="s">
        <v>20</v>
      </c>
    </row>
    <row r="11" spans="2:14" x14ac:dyDescent="0.25">
      <c r="C11" s="1" t="s">
        <v>16</v>
      </c>
      <c r="J11" s="21" t="s">
        <v>24</v>
      </c>
      <c r="K11" s="14" t="s">
        <v>25</v>
      </c>
      <c r="L11" s="14" t="s">
        <v>26</v>
      </c>
      <c r="M11" s="14" t="s">
        <v>22</v>
      </c>
      <c r="N11" s="15" t="s">
        <v>21</v>
      </c>
    </row>
    <row r="12" spans="2:14" x14ac:dyDescent="0.25">
      <c r="C12" s="1" t="s">
        <v>27</v>
      </c>
      <c r="J12" s="21">
        <v>12334</v>
      </c>
      <c r="K12" s="14">
        <v>32543</v>
      </c>
      <c r="L12" s="14">
        <v>93245</v>
      </c>
      <c r="M12" s="14">
        <v>12405</v>
      </c>
      <c r="N12" s="15">
        <v>32569</v>
      </c>
    </row>
    <row r="13" spans="2:14" x14ac:dyDescent="0.25">
      <c r="J13" s="22">
        <v>23904</v>
      </c>
      <c r="K13" s="16">
        <v>12405</v>
      </c>
      <c r="L13" s="16">
        <v>33984</v>
      </c>
      <c r="M13" s="16">
        <v>32543</v>
      </c>
      <c r="N13" s="17">
        <v>12405</v>
      </c>
    </row>
    <row r="14" spans="2:14" x14ac:dyDescent="0.25">
      <c r="B14" s="2" t="s">
        <v>35</v>
      </c>
      <c r="C14" s="3"/>
      <c r="D14" s="3"/>
      <c r="E14" s="3"/>
      <c r="F14" s="3"/>
      <c r="G14" s="3"/>
      <c r="H14" s="3"/>
    </row>
    <row r="15" spans="2:14" x14ac:dyDescent="0.25">
      <c r="C15" s="1" t="s">
        <v>33</v>
      </c>
      <c r="J15" s="5" t="s">
        <v>34</v>
      </c>
      <c r="K15" s="6" t="s">
        <v>30</v>
      </c>
      <c r="L15" s="7" t="s">
        <v>28</v>
      </c>
    </row>
    <row r="16" spans="2:14" x14ac:dyDescent="0.25">
      <c r="J16" s="11" t="s">
        <v>31</v>
      </c>
      <c r="K16" s="12" t="s">
        <v>32</v>
      </c>
      <c r="L16" s="13" t="s">
        <v>29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astCell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pecialAddress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FindCell">
                <anchor moveWithCells="1" siz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ngReplace">
                <anchor moveWithCells="1" siz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Recover2">
                <anchor moveWithCells="1" sizeWithCells="1">
                  <from>
                    <xdr:col>1</xdr:col>
                    <xdr:colOff>0</xdr:colOff>
                    <xdr:row>15</xdr:row>
                    <xdr:rowOff>171450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8" name="Button 3">
              <controlPr defaultSize="0" print="0" autoFill="0" autoPict="0" macro="[0]!RngLike">
                <anchor moveWithCells="1" siz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M15"/>
  <sheetViews>
    <sheetView showGridLines="0" workbookViewId="0">
      <selection activeCell="J20" sqref="J20"/>
    </sheetView>
  </sheetViews>
  <sheetFormatPr defaultRowHeight="15" x14ac:dyDescent="0.25"/>
  <cols>
    <col min="1" max="2" width="2.85546875" customWidth="1"/>
  </cols>
  <sheetData>
    <row r="1" spans="2:13" x14ac:dyDescent="0.25">
      <c r="L1" s="25"/>
    </row>
    <row r="2" spans="2:13" x14ac:dyDescent="0.25">
      <c r="B2" s="2" t="s">
        <v>58</v>
      </c>
      <c r="C2" s="3"/>
      <c r="D2" s="3"/>
      <c r="E2" s="3"/>
      <c r="F2" s="3"/>
      <c r="G2" s="3"/>
      <c r="H2" s="3"/>
      <c r="L2" s="25"/>
    </row>
    <row r="3" spans="2:13" x14ac:dyDescent="0.25">
      <c r="C3" s="1" t="s">
        <v>60</v>
      </c>
      <c r="J3" s="26" t="s">
        <v>54</v>
      </c>
      <c r="K3" s="27" t="s">
        <v>55</v>
      </c>
      <c r="L3" s="31" t="s">
        <v>56</v>
      </c>
      <c r="M3" s="32" t="s">
        <v>57</v>
      </c>
    </row>
    <row r="4" spans="2:13" x14ac:dyDescent="0.25">
      <c r="C4" s="1" t="s">
        <v>59</v>
      </c>
      <c r="J4" s="28">
        <v>998</v>
      </c>
      <c r="K4" s="25">
        <v>22.81</v>
      </c>
      <c r="L4" s="33"/>
      <c r="M4" s="34"/>
    </row>
    <row r="5" spans="2:13" x14ac:dyDescent="0.25">
      <c r="C5" s="1" t="s">
        <v>61</v>
      </c>
      <c r="J5" s="28">
        <v>785</v>
      </c>
      <c r="K5" s="25">
        <v>22.57</v>
      </c>
      <c r="L5" s="33"/>
      <c r="M5" s="34"/>
    </row>
    <row r="6" spans="2:13" x14ac:dyDescent="0.25">
      <c r="J6" s="28">
        <v>245</v>
      </c>
      <c r="K6" s="25">
        <v>20.49</v>
      </c>
      <c r="L6" s="33"/>
      <c r="M6" s="34"/>
    </row>
    <row r="7" spans="2:13" x14ac:dyDescent="0.25">
      <c r="B7" s="2" t="s">
        <v>62</v>
      </c>
      <c r="C7" s="3"/>
      <c r="D7" s="3"/>
      <c r="E7" s="3"/>
      <c r="F7" s="3"/>
      <c r="G7" s="3"/>
      <c r="H7" s="3"/>
      <c r="J7" s="28">
        <v>489</v>
      </c>
      <c r="K7" s="25">
        <v>22.48</v>
      </c>
      <c r="L7" s="33"/>
      <c r="M7" s="34"/>
    </row>
    <row r="8" spans="2:13" x14ac:dyDescent="0.25">
      <c r="C8" s="1" t="s">
        <v>63</v>
      </c>
      <c r="J8" s="28">
        <v>99</v>
      </c>
      <c r="K8" s="25">
        <v>23.01</v>
      </c>
      <c r="L8" s="33"/>
      <c r="M8" s="34"/>
    </row>
    <row r="9" spans="2:13" x14ac:dyDescent="0.25">
      <c r="C9" s="1" t="s">
        <v>64</v>
      </c>
      <c r="J9" s="28">
        <v>651</v>
      </c>
      <c r="K9" s="25">
        <v>23.19</v>
      </c>
      <c r="L9" s="33"/>
      <c r="M9" s="34"/>
    </row>
    <row r="10" spans="2:13" x14ac:dyDescent="0.25">
      <c r="C10" s="1" t="s">
        <v>65</v>
      </c>
      <c r="J10" s="28">
        <v>453</v>
      </c>
      <c r="K10" s="25">
        <v>22.56</v>
      </c>
      <c r="L10" s="33"/>
      <c r="M10" s="34"/>
    </row>
    <row r="11" spans="2:13" x14ac:dyDescent="0.25">
      <c r="J11" s="28">
        <v>977</v>
      </c>
      <c r="K11" s="25">
        <v>21.65</v>
      </c>
      <c r="L11" s="33"/>
      <c r="M11" s="34"/>
    </row>
    <row r="12" spans="2:13" x14ac:dyDescent="0.25">
      <c r="J12" s="29"/>
      <c r="K12" s="30"/>
      <c r="L12" s="35"/>
      <c r="M12" s="36"/>
    </row>
    <row r="13" spans="2:13" x14ac:dyDescent="0.25">
      <c r="L13" s="37"/>
    </row>
    <row r="14" spans="2:13" x14ac:dyDescent="0.25">
      <c r="L14" s="25"/>
    </row>
    <row r="15" spans="2:13" x14ac:dyDescent="0.25">
      <c r="L15" s="2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ngFormula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rngIsHasFormula">
                <anchor moveWithCells="1" siz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Recover3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W34"/>
  <sheetViews>
    <sheetView showGridLines="0" topLeftCell="A4" workbookViewId="0">
      <selection activeCell="B32" sqref="B32"/>
    </sheetView>
  </sheetViews>
  <sheetFormatPr defaultRowHeight="15" x14ac:dyDescent="0.25"/>
  <cols>
    <col min="1" max="2" width="2.85546875" customWidth="1"/>
    <col min="10" max="13" width="8" customWidth="1"/>
    <col min="18" max="19" width="9.140625" customWidth="1"/>
    <col min="20" max="23" width="8" customWidth="1"/>
  </cols>
  <sheetData>
    <row r="2" spans="2:13" x14ac:dyDescent="0.25">
      <c r="B2" s="2" t="s">
        <v>218</v>
      </c>
      <c r="C2" s="3"/>
      <c r="D2" s="3"/>
      <c r="E2" s="3"/>
      <c r="F2" s="3"/>
      <c r="G2" s="3"/>
      <c r="H2" s="3"/>
      <c r="J2" t="s">
        <v>36</v>
      </c>
      <c r="K2" t="s">
        <v>264</v>
      </c>
      <c r="L2" t="s">
        <v>265</v>
      </c>
      <c r="M2" t="s">
        <v>37</v>
      </c>
    </row>
    <row r="3" spans="2:13" x14ac:dyDescent="0.25">
      <c r="C3" s="1" t="s">
        <v>38</v>
      </c>
      <c r="J3">
        <v>80001</v>
      </c>
      <c r="K3" t="s">
        <v>71</v>
      </c>
      <c r="L3" t="s">
        <v>266</v>
      </c>
      <c r="M3">
        <v>100</v>
      </c>
    </row>
    <row r="4" spans="2:13" x14ac:dyDescent="0.25">
      <c r="C4" s="1" t="s">
        <v>39</v>
      </c>
      <c r="J4">
        <v>80002</v>
      </c>
      <c r="K4" t="s">
        <v>71</v>
      </c>
      <c r="L4" t="s">
        <v>266</v>
      </c>
      <c r="M4">
        <v>200</v>
      </c>
    </row>
    <row r="5" spans="2:13" x14ac:dyDescent="0.25">
      <c r="J5">
        <v>80003</v>
      </c>
      <c r="K5" t="s">
        <v>78</v>
      </c>
      <c r="L5" t="s">
        <v>266</v>
      </c>
      <c r="M5">
        <v>300</v>
      </c>
    </row>
    <row r="6" spans="2:13" x14ac:dyDescent="0.25">
      <c r="B6" s="2" t="s">
        <v>217</v>
      </c>
      <c r="C6" s="3"/>
      <c r="D6" s="3"/>
      <c r="E6" s="3"/>
      <c r="F6" s="3"/>
      <c r="G6" s="3"/>
      <c r="H6" s="3"/>
      <c r="J6">
        <v>80004</v>
      </c>
      <c r="K6" t="s">
        <v>78</v>
      </c>
      <c r="L6" t="s">
        <v>266</v>
      </c>
      <c r="M6">
        <v>400</v>
      </c>
    </row>
    <row r="7" spans="2:13" x14ac:dyDescent="0.25">
      <c r="C7" s="1" t="s">
        <v>219</v>
      </c>
    </row>
    <row r="8" spans="2:13" x14ac:dyDescent="0.25">
      <c r="C8" s="1" t="s">
        <v>220</v>
      </c>
    </row>
    <row r="10" spans="2:13" x14ac:dyDescent="0.25">
      <c r="B10" s="2" t="s">
        <v>227</v>
      </c>
      <c r="C10" s="3"/>
      <c r="D10" s="3"/>
      <c r="E10" s="3"/>
      <c r="F10" s="3"/>
      <c r="G10" s="3"/>
      <c r="H10" s="3"/>
    </row>
    <row r="11" spans="2:13" x14ac:dyDescent="0.25">
      <c r="C11" s="1" t="s">
        <v>221</v>
      </c>
    </row>
    <row r="12" spans="2:13" x14ac:dyDescent="0.25">
      <c r="C12" s="1" t="s">
        <v>222</v>
      </c>
    </row>
    <row r="13" spans="2:13" x14ac:dyDescent="0.25">
      <c r="C13" s="1" t="s">
        <v>223</v>
      </c>
    </row>
    <row r="14" spans="2:13" x14ac:dyDescent="0.25">
      <c r="C14" s="1" t="s">
        <v>224</v>
      </c>
    </row>
    <row r="15" spans="2:13" x14ac:dyDescent="0.25">
      <c r="C15" s="1" t="s">
        <v>225</v>
      </c>
      <c r="J15" s="59">
        <v>1</v>
      </c>
      <c r="K15" s="59">
        <v>2</v>
      </c>
    </row>
    <row r="16" spans="2:13" x14ac:dyDescent="0.25">
      <c r="C16" s="1" t="s">
        <v>226</v>
      </c>
      <c r="J16" s="59">
        <v>3</v>
      </c>
      <c r="K16" s="59">
        <v>4</v>
      </c>
    </row>
    <row r="18" spans="2:16" x14ac:dyDescent="0.25">
      <c r="B18" s="2" t="s">
        <v>228</v>
      </c>
      <c r="C18" s="3"/>
      <c r="D18" s="3"/>
      <c r="E18" s="3"/>
      <c r="F18" s="3"/>
      <c r="G18" s="3"/>
      <c r="H18" s="3"/>
    </row>
    <row r="19" spans="2:16" x14ac:dyDescent="0.25">
      <c r="C19" s="1" t="s">
        <v>267</v>
      </c>
      <c r="K19" s="60" t="s">
        <v>77</v>
      </c>
      <c r="L19" s="61"/>
      <c r="M19" s="60" t="s">
        <v>232</v>
      </c>
      <c r="N19" s="61"/>
      <c r="O19" s="60" t="s">
        <v>253</v>
      </c>
      <c r="P19" s="61"/>
    </row>
    <row r="20" spans="2:16" x14ac:dyDescent="0.25">
      <c r="C20" s="1" t="s">
        <v>229</v>
      </c>
      <c r="K20" s="60" t="s">
        <v>244</v>
      </c>
      <c r="L20" s="61"/>
      <c r="M20" s="60" t="s">
        <v>243</v>
      </c>
      <c r="N20" s="61"/>
      <c r="O20" s="60">
        <v>9300</v>
      </c>
      <c r="P20" s="61"/>
    </row>
    <row r="21" spans="2:16" x14ac:dyDescent="0.25">
      <c r="C21" s="1" t="s">
        <v>230</v>
      </c>
      <c r="K21" s="60" t="s">
        <v>246</v>
      </c>
      <c r="L21" s="61"/>
      <c r="M21" s="60" t="s">
        <v>241</v>
      </c>
      <c r="N21" s="61"/>
      <c r="O21" s="60">
        <v>7000</v>
      </c>
      <c r="P21" s="61"/>
    </row>
    <row r="22" spans="2:16" x14ac:dyDescent="0.25">
      <c r="C22" s="1" t="s">
        <v>231</v>
      </c>
      <c r="K22" s="60" t="s">
        <v>235</v>
      </c>
      <c r="L22" s="61"/>
      <c r="M22" s="60" t="s">
        <v>239</v>
      </c>
      <c r="N22" s="61"/>
      <c r="O22" s="60">
        <v>8500</v>
      </c>
      <c r="P22" s="61"/>
    </row>
    <row r="23" spans="2:16" x14ac:dyDescent="0.25">
      <c r="K23" s="60" t="s">
        <v>237</v>
      </c>
      <c r="L23" s="61"/>
      <c r="M23" s="60" t="s">
        <v>240</v>
      </c>
      <c r="N23" s="61"/>
      <c r="O23" s="60">
        <v>8900</v>
      </c>
      <c r="P23" s="61"/>
    </row>
    <row r="24" spans="2:16" x14ac:dyDescent="0.25">
      <c r="B24" s="2" t="s">
        <v>258</v>
      </c>
      <c r="C24" s="3"/>
      <c r="D24" s="3"/>
      <c r="E24" s="3"/>
      <c r="F24" s="3"/>
      <c r="G24" s="3"/>
      <c r="H24" s="3"/>
      <c r="K24" s="60" t="s">
        <v>249</v>
      </c>
      <c r="L24" s="61"/>
      <c r="M24" s="60" t="s">
        <v>242</v>
      </c>
      <c r="N24" s="61"/>
      <c r="O24" s="60">
        <v>7800</v>
      </c>
      <c r="P24" s="61"/>
    </row>
    <row r="25" spans="2:16" x14ac:dyDescent="0.25">
      <c r="C25" s="1" t="s">
        <v>254</v>
      </c>
      <c r="K25" s="60" t="s">
        <v>236</v>
      </c>
      <c r="L25" s="61"/>
      <c r="M25" s="60" t="s">
        <v>240</v>
      </c>
      <c r="N25" s="61"/>
      <c r="O25" s="60">
        <v>9200</v>
      </c>
      <c r="P25" s="61"/>
    </row>
    <row r="26" spans="2:16" x14ac:dyDescent="0.25">
      <c r="C26" s="1" t="s">
        <v>255</v>
      </c>
      <c r="K26" s="60" t="s">
        <v>234</v>
      </c>
      <c r="L26" s="61"/>
      <c r="M26" s="60" t="s">
        <v>239</v>
      </c>
      <c r="N26" s="61"/>
      <c r="O26" s="60">
        <v>8500</v>
      </c>
      <c r="P26" s="61"/>
    </row>
    <row r="27" spans="2:16" x14ac:dyDescent="0.25">
      <c r="C27" s="1" t="s">
        <v>261</v>
      </c>
      <c r="K27" s="60" t="s">
        <v>245</v>
      </c>
      <c r="L27" s="61"/>
      <c r="M27" s="60" t="s">
        <v>243</v>
      </c>
      <c r="N27" s="61"/>
      <c r="O27" s="60">
        <v>8400</v>
      </c>
      <c r="P27" s="61"/>
    </row>
    <row r="28" spans="2:16" x14ac:dyDescent="0.25">
      <c r="C28" s="1" t="s">
        <v>256</v>
      </c>
      <c r="K28" s="60" t="s">
        <v>247</v>
      </c>
      <c r="L28" s="61"/>
      <c r="M28" s="60" t="s">
        <v>242</v>
      </c>
      <c r="N28" s="61"/>
      <c r="O28" s="60">
        <v>8600</v>
      </c>
      <c r="P28" s="61"/>
    </row>
    <row r="29" spans="2:16" x14ac:dyDescent="0.25">
      <c r="C29" s="1" t="s">
        <v>257</v>
      </c>
      <c r="K29" s="60" t="s">
        <v>248</v>
      </c>
      <c r="L29" s="61"/>
      <c r="M29" s="60" t="s">
        <v>242</v>
      </c>
      <c r="N29" s="61"/>
      <c r="O29" s="60">
        <v>8800</v>
      </c>
      <c r="P29" s="61"/>
    </row>
    <row r="30" spans="2:16" x14ac:dyDescent="0.25">
      <c r="C30" s="1" t="s">
        <v>259</v>
      </c>
      <c r="K30" s="60" t="s">
        <v>233</v>
      </c>
      <c r="L30" s="61"/>
      <c r="M30" s="60" t="s">
        <v>239</v>
      </c>
      <c r="N30" s="61"/>
      <c r="O30" s="60">
        <v>9100</v>
      </c>
      <c r="P30" s="61"/>
    </row>
    <row r="31" spans="2:16" x14ac:dyDescent="0.25">
      <c r="K31" s="60" t="s">
        <v>252</v>
      </c>
      <c r="L31" s="61"/>
      <c r="M31" s="60" t="s">
        <v>241</v>
      </c>
      <c r="N31" s="61"/>
      <c r="O31" s="60">
        <v>8600</v>
      </c>
      <c r="P31" s="61"/>
    </row>
    <row r="32" spans="2:16" x14ac:dyDescent="0.25">
      <c r="B32" s="2" t="s">
        <v>260</v>
      </c>
      <c r="C32" s="3"/>
      <c r="D32" s="3"/>
      <c r="E32" s="3"/>
      <c r="F32" s="3"/>
      <c r="G32" s="3"/>
      <c r="H32" s="3"/>
      <c r="K32" s="60" t="s">
        <v>251</v>
      </c>
      <c r="L32" s="61"/>
      <c r="M32" s="60" t="s">
        <v>241</v>
      </c>
      <c r="N32" s="61"/>
      <c r="O32" s="60">
        <v>8300</v>
      </c>
      <c r="P32" s="61"/>
    </row>
    <row r="33" spans="3:16" x14ac:dyDescent="0.25">
      <c r="C33" s="1" t="s">
        <v>262</v>
      </c>
      <c r="K33" s="60" t="s">
        <v>238</v>
      </c>
      <c r="L33" s="61"/>
      <c r="M33" s="60" t="s">
        <v>240</v>
      </c>
      <c r="N33" s="61"/>
      <c r="O33" s="60">
        <v>8500</v>
      </c>
      <c r="P33" s="61"/>
    </row>
    <row r="34" spans="3:16" x14ac:dyDescent="0.25">
      <c r="C34" s="1" t="s">
        <v>263</v>
      </c>
      <c r="K34" s="60" t="s">
        <v>250</v>
      </c>
      <c r="L34" s="61"/>
      <c r="M34" s="60" t="s">
        <v>243</v>
      </c>
      <c r="N34" s="61"/>
      <c r="O34" s="60">
        <v>8700</v>
      </c>
      <c r="P34" s="61"/>
    </row>
  </sheetData>
  <sortState ref="K20:P34">
    <sortCondition ref="K19"/>
  </sortState>
  <mergeCells count="48">
    <mergeCell ref="M24:N24"/>
    <mergeCell ref="M25:N25"/>
    <mergeCell ref="K19:L19"/>
    <mergeCell ref="K20:L20"/>
    <mergeCell ref="K21:L21"/>
    <mergeCell ref="K22:L22"/>
    <mergeCell ref="K23:L23"/>
    <mergeCell ref="K24:L24"/>
    <mergeCell ref="M19:N19"/>
    <mergeCell ref="M20:N20"/>
    <mergeCell ref="M21:N21"/>
    <mergeCell ref="M22:N22"/>
    <mergeCell ref="M23:N23"/>
    <mergeCell ref="M26:N26"/>
    <mergeCell ref="M27:N27"/>
    <mergeCell ref="K25:L25"/>
    <mergeCell ref="K26:L26"/>
    <mergeCell ref="K27:L27"/>
    <mergeCell ref="O27:P27"/>
    <mergeCell ref="M28:N28"/>
    <mergeCell ref="M29:N29"/>
    <mergeCell ref="M30:N30"/>
    <mergeCell ref="M31:N31"/>
    <mergeCell ref="O33:P33"/>
    <mergeCell ref="O34:P34"/>
    <mergeCell ref="K31:L31"/>
    <mergeCell ref="K32:L32"/>
    <mergeCell ref="M33:N33"/>
    <mergeCell ref="M34:N34"/>
    <mergeCell ref="M32:N32"/>
    <mergeCell ref="O28:P28"/>
    <mergeCell ref="O29:P29"/>
    <mergeCell ref="O30:P30"/>
    <mergeCell ref="O31:P31"/>
    <mergeCell ref="O32:P32"/>
    <mergeCell ref="K33:L33"/>
    <mergeCell ref="K34:L34"/>
    <mergeCell ref="K28:L28"/>
    <mergeCell ref="K29:L29"/>
    <mergeCell ref="K30:L30"/>
    <mergeCell ref="O25:P25"/>
    <mergeCell ref="O26:P26"/>
    <mergeCell ref="O19:P19"/>
    <mergeCell ref="O20:P20"/>
    <mergeCell ref="O21:P21"/>
    <mergeCell ref="O22:P22"/>
    <mergeCell ref="O23:P23"/>
    <mergeCell ref="O24:P2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angeCopy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RangeCut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InSertRow">
                <anchor moveWithCells="1" siz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DeleteNums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FilterSort">
                <anchor moveWithCells="1" siz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HideUnhide">
                <anchor moveWithCells="1" siz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Recover4">
                <anchor moveWithCells="1" siz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S23"/>
  <sheetViews>
    <sheetView showGridLines="0" workbookViewId="0">
      <selection activeCell="K26" sqref="K26"/>
    </sheetView>
  </sheetViews>
  <sheetFormatPr defaultRowHeight="15" x14ac:dyDescent="0.25"/>
  <cols>
    <col min="1" max="2" width="2.85546875" customWidth="1"/>
    <col min="10" max="13" width="7.85546875" customWidth="1"/>
  </cols>
  <sheetData>
    <row r="2" spans="2:10" x14ac:dyDescent="0.25">
      <c r="B2" s="2" t="s">
        <v>44</v>
      </c>
      <c r="C2" s="3"/>
      <c r="D2" s="3"/>
      <c r="E2" s="3"/>
      <c r="F2" s="3"/>
      <c r="G2" s="3"/>
      <c r="H2" s="3"/>
    </row>
    <row r="3" spans="2:10" x14ac:dyDescent="0.25">
      <c r="C3" s="1" t="s">
        <v>46</v>
      </c>
    </row>
    <row r="4" spans="2:10" x14ac:dyDescent="0.25">
      <c r="C4" s="1" t="s">
        <v>48</v>
      </c>
    </row>
    <row r="5" spans="2:10" x14ac:dyDescent="0.25">
      <c r="C5" s="1" t="s">
        <v>49</v>
      </c>
    </row>
    <row r="7" spans="2:10" x14ac:dyDescent="0.25">
      <c r="B7" s="2" t="s">
        <v>50</v>
      </c>
      <c r="C7" s="3"/>
      <c r="D7" s="3"/>
      <c r="E7" s="3"/>
      <c r="F7" s="3"/>
      <c r="G7" s="3"/>
      <c r="H7" s="3"/>
    </row>
    <row r="8" spans="2:10" x14ac:dyDescent="0.25">
      <c r="C8" s="1" t="s">
        <v>51</v>
      </c>
      <c r="J8" t="s">
        <v>47</v>
      </c>
    </row>
    <row r="9" spans="2:10" x14ac:dyDescent="0.25">
      <c r="C9" s="1" t="s">
        <v>52</v>
      </c>
    </row>
    <row r="11" spans="2:10" x14ac:dyDescent="0.25">
      <c r="B11" s="2" t="s">
        <v>66</v>
      </c>
      <c r="C11" s="3"/>
      <c r="D11" s="3"/>
      <c r="E11" s="3"/>
      <c r="F11" s="3"/>
      <c r="G11" s="3"/>
      <c r="H11" s="3"/>
      <c r="J11" t="s">
        <v>53</v>
      </c>
    </row>
    <row r="12" spans="2:10" x14ac:dyDescent="0.25">
      <c r="C12" s="1" t="s">
        <v>67</v>
      </c>
    </row>
    <row r="14" spans="2:10" x14ac:dyDescent="0.25">
      <c r="B14" s="2" t="s">
        <v>68</v>
      </c>
      <c r="C14" s="3"/>
      <c r="D14" s="3"/>
      <c r="E14" s="3"/>
      <c r="F14" s="3"/>
      <c r="G14" s="3"/>
      <c r="H14" s="3"/>
    </row>
    <row r="15" spans="2:10" x14ac:dyDescent="0.25">
      <c r="C15" s="1" t="s">
        <v>69</v>
      </c>
    </row>
    <row r="16" spans="2:10" x14ac:dyDescent="0.25">
      <c r="C16" s="1" t="s">
        <v>70</v>
      </c>
    </row>
    <row r="17" spans="3:19" x14ac:dyDescent="0.25">
      <c r="C17" s="1" t="s">
        <v>74</v>
      </c>
    </row>
    <row r="18" spans="3:19" ht="15" customHeight="1" x14ac:dyDescent="0.25">
      <c r="C18" s="1" t="s">
        <v>83</v>
      </c>
      <c r="J18" s="63"/>
      <c r="L18" s="59" t="s">
        <v>71</v>
      </c>
      <c r="M18" s="59" t="s">
        <v>75</v>
      </c>
      <c r="O18" s="59" t="s">
        <v>76</v>
      </c>
      <c r="P18" s="59" t="s">
        <v>77</v>
      </c>
      <c r="R18" s="59" t="s">
        <v>76</v>
      </c>
      <c r="S18" s="59" t="s">
        <v>77</v>
      </c>
    </row>
    <row r="19" spans="3:19" x14ac:dyDescent="0.25">
      <c r="C19" s="1" t="s">
        <v>84</v>
      </c>
      <c r="J19" s="63"/>
      <c r="L19" s="59" t="s">
        <v>72</v>
      </c>
      <c r="M19" s="59" t="s">
        <v>73</v>
      </c>
      <c r="O19" s="59" t="s">
        <v>71</v>
      </c>
      <c r="P19" s="59" t="s">
        <v>82</v>
      </c>
      <c r="R19" s="62" t="s">
        <v>71</v>
      </c>
      <c r="S19" s="59" t="s">
        <v>82</v>
      </c>
    </row>
    <row r="20" spans="3:19" x14ac:dyDescent="0.25">
      <c r="O20" s="59" t="s">
        <v>71</v>
      </c>
      <c r="P20" s="59" t="s">
        <v>81</v>
      </c>
      <c r="R20" s="62"/>
      <c r="S20" s="59" t="s">
        <v>81</v>
      </c>
    </row>
    <row r="21" spans="3:19" x14ac:dyDescent="0.25">
      <c r="O21" s="59" t="s">
        <v>78</v>
      </c>
      <c r="P21" s="59" t="s">
        <v>79</v>
      </c>
      <c r="R21" s="62" t="s">
        <v>78</v>
      </c>
      <c r="S21" s="59" t="s">
        <v>79</v>
      </c>
    </row>
    <row r="22" spans="3:19" x14ac:dyDescent="0.25">
      <c r="O22" s="59" t="s">
        <v>78</v>
      </c>
      <c r="P22" s="59" t="s">
        <v>80</v>
      </c>
      <c r="R22" s="62"/>
      <c r="S22" s="59" t="s">
        <v>80</v>
      </c>
    </row>
    <row r="23" spans="3:19" x14ac:dyDescent="0.25">
      <c r="C23" s="1"/>
    </row>
  </sheetData>
  <mergeCells count="3">
    <mergeCell ref="R21:R22"/>
    <mergeCell ref="R19:R20"/>
    <mergeCell ref="J18:J1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3" name="Button 15">
              <controlPr defaultSize="0" print="0" autoFill="0" autoPict="0" macro="[0]!CellFont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4" name="Button 16">
              <controlPr defaultSize="0" print="0" autoFill="0" autoPict="0" macro="[0]!AddValidation">
                <anchor moveWithCells="1" siz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5" name="Button 17">
              <controlPr defaultSize="0" print="0" autoFill="0" autoPict="0" macro="[0]!AddComment">
                <anchor moveWithCells="1" siz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6" name="Button 18">
              <controlPr defaultSize="0" print="0" autoFill="0" autoPict="0" macro="[0]!MergeCells">
                <anchor moveWithCells="1" siz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7" name="Button 19">
              <controlPr defaultSize="0" print="0" autoFill="0" autoPict="0" macro="[0]!Recover5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</sheetPr>
  <dimension ref="B2:F76"/>
  <sheetViews>
    <sheetView showGridLines="0" zoomScaleNormal="100" workbookViewId="0">
      <pane ySplit="2" topLeftCell="A3" activePane="bottomLeft" state="frozen"/>
      <selection pane="bottomLeft" activeCell="D22" sqref="D22"/>
    </sheetView>
  </sheetViews>
  <sheetFormatPr defaultRowHeight="15" x14ac:dyDescent="0.25"/>
  <cols>
    <col min="1" max="1" width="2.85546875" customWidth="1"/>
    <col min="2" max="2" width="14.28515625" customWidth="1"/>
    <col min="3" max="3" width="17.140625" customWidth="1"/>
    <col min="4" max="4" width="50" customWidth="1"/>
    <col min="5" max="5" width="37.28515625" customWidth="1"/>
    <col min="6" max="6" width="52" bestFit="1" customWidth="1"/>
  </cols>
  <sheetData>
    <row r="2" spans="2:6" x14ac:dyDescent="0.25">
      <c r="B2" s="38" t="s">
        <v>85</v>
      </c>
      <c r="C2" s="39" t="s">
        <v>86</v>
      </c>
      <c r="D2" s="39" t="s">
        <v>142</v>
      </c>
      <c r="E2" s="39" t="s">
        <v>216</v>
      </c>
      <c r="F2" s="40" t="s">
        <v>103</v>
      </c>
    </row>
    <row r="3" spans="2:6" x14ac:dyDescent="0.25">
      <c r="B3" s="41" t="s">
        <v>95</v>
      </c>
      <c r="C3" s="42" t="s">
        <v>87</v>
      </c>
      <c r="D3" s="43" t="s">
        <v>40</v>
      </c>
      <c r="E3" s="42" t="s">
        <v>214</v>
      </c>
      <c r="F3" s="44"/>
    </row>
    <row r="4" spans="2:6" x14ac:dyDescent="0.25">
      <c r="B4" s="41" t="s">
        <v>95</v>
      </c>
      <c r="C4" s="42" t="s">
        <v>87</v>
      </c>
      <c r="D4" s="43" t="s">
        <v>40</v>
      </c>
      <c r="E4" s="42" t="s">
        <v>188</v>
      </c>
      <c r="F4" s="44"/>
    </row>
    <row r="5" spans="2:6" x14ac:dyDescent="0.25">
      <c r="B5" s="41" t="s">
        <v>95</v>
      </c>
      <c r="C5" s="42" t="s">
        <v>87</v>
      </c>
      <c r="D5" s="43" t="s">
        <v>40</v>
      </c>
      <c r="E5" s="42" t="s">
        <v>89</v>
      </c>
      <c r="F5" s="44"/>
    </row>
    <row r="6" spans="2:6" x14ac:dyDescent="0.25">
      <c r="B6" s="41" t="s">
        <v>95</v>
      </c>
      <c r="C6" s="42" t="s">
        <v>87</v>
      </c>
      <c r="D6" s="43" t="s">
        <v>40</v>
      </c>
      <c r="E6" s="42" t="s">
        <v>90</v>
      </c>
      <c r="F6" s="44"/>
    </row>
    <row r="7" spans="2:6" x14ac:dyDescent="0.25">
      <c r="B7" s="41" t="s">
        <v>95</v>
      </c>
      <c r="C7" s="42" t="s">
        <v>87</v>
      </c>
      <c r="D7" s="43" t="s">
        <v>41</v>
      </c>
      <c r="E7" s="42" t="s">
        <v>177</v>
      </c>
      <c r="F7" s="44" t="s">
        <v>178</v>
      </c>
    </row>
    <row r="8" spans="2:6" x14ac:dyDescent="0.25">
      <c r="B8" s="41" t="s">
        <v>95</v>
      </c>
      <c r="C8" s="42" t="s">
        <v>87</v>
      </c>
      <c r="D8" s="43" t="s">
        <v>41</v>
      </c>
      <c r="E8" s="42" t="s">
        <v>91</v>
      </c>
      <c r="F8" s="44"/>
    </row>
    <row r="9" spans="2:6" x14ac:dyDescent="0.25">
      <c r="B9" s="41" t="s">
        <v>95</v>
      </c>
      <c r="C9" s="42" t="s">
        <v>87</v>
      </c>
      <c r="D9" s="43" t="s">
        <v>41</v>
      </c>
      <c r="E9" s="42" t="s">
        <v>92</v>
      </c>
      <c r="F9" s="44"/>
    </row>
    <row r="10" spans="2:6" x14ac:dyDescent="0.25">
      <c r="B10" s="41" t="s">
        <v>95</v>
      </c>
      <c r="C10" s="42" t="s">
        <v>87</v>
      </c>
      <c r="D10" s="43" t="s">
        <v>41</v>
      </c>
      <c r="E10" s="42" t="s">
        <v>93</v>
      </c>
      <c r="F10" s="44"/>
    </row>
    <row r="11" spans="2:6" x14ac:dyDescent="0.25">
      <c r="B11" s="41" t="s">
        <v>94</v>
      </c>
      <c r="C11" s="42" t="s">
        <v>87</v>
      </c>
      <c r="D11" s="42" t="s">
        <v>88</v>
      </c>
      <c r="E11" s="42" t="s">
        <v>96</v>
      </c>
      <c r="F11" s="44"/>
    </row>
    <row r="12" spans="2:6" x14ac:dyDescent="0.25">
      <c r="B12" s="41" t="s">
        <v>95</v>
      </c>
      <c r="C12" s="42" t="s">
        <v>87</v>
      </c>
      <c r="D12" s="42" t="s">
        <v>42</v>
      </c>
      <c r="E12" s="42" t="s">
        <v>97</v>
      </c>
      <c r="F12" s="44" t="s">
        <v>149</v>
      </c>
    </row>
    <row r="13" spans="2:6" x14ac:dyDescent="0.25">
      <c r="B13" s="41" t="s">
        <v>95</v>
      </c>
      <c r="C13" s="42" t="s">
        <v>87</v>
      </c>
      <c r="D13" s="42" t="s">
        <v>42</v>
      </c>
      <c r="E13" s="42" t="s">
        <v>98</v>
      </c>
      <c r="F13" s="44"/>
    </row>
    <row r="14" spans="2:6" x14ac:dyDescent="0.25">
      <c r="B14" s="41" t="s">
        <v>95</v>
      </c>
      <c r="C14" s="42" t="s">
        <v>87</v>
      </c>
      <c r="D14" s="42" t="s">
        <v>100</v>
      </c>
      <c r="E14" s="42" t="s">
        <v>101</v>
      </c>
      <c r="F14" s="44"/>
    </row>
    <row r="15" spans="2:6" x14ac:dyDescent="0.25">
      <c r="B15" s="41" t="s">
        <v>94</v>
      </c>
      <c r="C15" s="42" t="s">
        <v>87</v>
      </c>
      <c r="D15" s="42" t="s">
        <v>43</v>
      </c>
      <c r="E15" s="42" t="s">
        <v>102</v>
      </c>
      <c r="F15" s="44" t="s">
        <v>104</v>
      </c>
    </row>
    <row r="16" spans="2:6" x14ac:dyDescent="0.25">
      <c r="B16" s="41" t="s">
        <v>95</v>
      </c>
      <c r="C16" s="42" t="s">
        <v>105</v>
      </c>
      <c r="D16" s="42" t="s">
        <v>9</v>
      </c>
      <c r="E16" s="42" t="s">
        <v>108</v>
      </c>
      <c r="F16" s="44" t="s">
        <v>109</v>
      </c>
    </row>
    <row r="17" spans="2:6" x14ac:dyDescent="0.25">
      <c r="B17" s="41" t="s">
        <v>95</v>
      </c>
      <c r="C17" s="42" t="s">
        <v>105</v>
      </c>
      <c r="D17" s="42" t="s">
        <v>9</v>
      </c>
      <c r="E17" s="42" t="s">
        <v>107</v>
      </c>
      <c r="F17" s="44" t="s">
        <v>110</v>
      </c>
    </row>
    <row r="18" spans="2:6" x14ac:dyDescent="0.25">
      <c r="B18" s="41" t="s">
        <v>95</v>
      </c>
      <c r="C18" s="42" t="s">
        <v>105</v>
      </c>
      <c r="D18" s="42" t="s">
        <v>9</v>
      </c>
      <c r="E18" s="42" t="s">
        <v>112</v>
      </c>
      <c r="F18" s="44" t="s">
        <v>113</v>
      </c>
    </row>
    <row r="19" spans="2:6" x14ac:dyDescent="0.25">
      <c r="B19" s="41" t="s">
        <v>95</v>
      </c>
      <c r="C19" s="42" t="s">
        <v>105</v>
      </c>
      <c r="D19" s="42" t="s">
        <v>9</v>
      </c>
      <c r="E19" s="42" t="s">
        <v>111</v>
      </c>
      <c r="F19" s="44" t="s">
        <v>114</v>
      </c>
    </row>
    <row r="20" spans="2:6" x14ac:dyDescent="0.25">
      <c r="B20" s="41" t="s">
        <v>95</v>
      </c>
      <c r="C20" s="42" t="s">
        <v>105</v>
      </c>
      <c r="D20" s="42" t="s">
        <v>9</v>
      </c>
      <c r="E20" s="42" t="s">
        <v>115</v>
      </c>
      <c r="F20" s="44"/>
    </row>
    <row r="21" spans="2:6" x14ac:dyDescent="0.25">
      <c r="B21" s="41" t="s">
        <v>95</v>
      </c>
      <c r="C21" s="42" t="s">
        <v>105</v>
      </c>
      <c r="D21" s="42" t="s">
        <v>9</v>
      </c>
      <c r="E21" s="42" t="s">
        <v>129</v>
      </c>
      <c r="F21" s="44"/>
    </row>
    <row r="22" spans="2:6" x14ac:dyDescent="0.25">
      <c r="B22" s="41" t="s">
        <v>95</v>
      </c>
      <c r="C22" s="42" t="s">
        <v>105</v>
      </c>
      <c r="D22" s="42" t="s">
        <v>9</v>
      </c>
      <c r="E22" s="42" t="s">
        <v>130</v>
      </c>
      <c r="F22" s="44"/>
    </row>
    <row r="23" spans="2:6" x14ac:dyDescent="0.25">
      <c r="B23" s="41" t="s">
        <v>95</v>
      </c>
      <c r="C23" s="42" t="s">
        <v>105</v>
      </c>
      <c r="D23" s="42" t="s">
        <v>9</v>
      </c>
      <c r="E23" s="42" t="s">
        <v>131</v>
      </c>
      <c r="F23" s="44"/>
    </row>
    <row r="24" spans="2:6" x14ac:dyDescent="0.25">
      <c r="B24" s="41" t="s">
        <v>95</v>
      </c>
      <c r="C24" s="42" t="s">
        <v>105</v>
      </c>
      <c r="D24" s="42" t="s">
        <v>12</v>
      </c>
      <c r="E24" s="42" t="s">
        <v>106</v>
      </c>
      <c r="F24" s="44" t="s">
        <v>114</v>
      </c>
    </row>
    <row r="25" spans="2:6" x14ac:dyDescent="0.25">
      <c r="B25" s="41" t="s">
        <v>94</v>
      </c>
      <c r="C25" s="42" t="s">
        <v>105</v>
      </c>
      <c r="D25" s="42" t="s">
        <v>12</v>
      </c>
      <c r="E25" s="42" t="s">
        <v>116</v>
      </c>
      <c r="F25" s="44"/>
    </row>
    <row r="26" spans="2:6" x14ac:dyDescent="0.25">
      <c r="B26" s="41" t="s">
        <v>94</v>
      </c>
      <c r="C26" s="42" t="s">
        <v>105</v>
      </c>
      <c r="D26" s="42" t="s">
        <v>12</v>
      </c>
      <c r="E26" s="42" t="s">
        <v>117</v>
      </c>
      <c r="F26" s="44" t="s">
        <v>155</v>
      </c>
    </row>
    <row r="27" spans="2:6" x14ac:dyDescent="0.25">
      <c r="B27" s="41" t="s">
        <v>95</v>
      </c>
      <c r="C27" s="42" t="s">
        <v>105</v>
      </c>
      <c r="D27" s="42" t="s">
        <v>15</v>
      </c>
      <c r="E27" s="42" t="s">
        <v>118</v>
      </c>
      <c r="F27" s="44"/>
    </row>
    <row r="28" spans="2:6" x14ac:dyDescent="0.25">
      <c r="B28" s="41" t="s">
        <v>95</v>
      </c>
      <c r="C28" s="42" t="s">
        <v>105</v>
      </c>
      <c r="D28" s="42" t="s">
        <v>15</v>
      </c>
      <c r="E28" s="42" t="s">
        <v>119</v>
      </c>
      <c r="F28" s="44"/>
    </row>
    <row r="29" spans="2:6" x14ac:dyDescent="0.25">
      <c r="B29" s="41" t="s">
        <v>95</v>
      </c>
      <c r="C29" s="42" t="s">
        <v>105</v>
      </c>
      <c r="D29" s="42" t="s">
        <v>15</v>
      </c>
      <c r="E29" s="42" t="s">
        <v>120</v>
      </c>
      <c r="F29" s="44"/>
    </row>
    <row r="30" spans="2:6" x14ac:dyDescent="0.25">
      <c r="B30" s="41" t="s">
        <v>99</v>
      </c>
      <c r="C30" s="42" t="s">
        <v>105</v>
      </c>
      <c r="D30" s="42" t="s">
        <v>15</v>
      </c>
      <c r="E30" s="42" t="s">
        <v>121</v>
      </c>
      <c r="F30" s="44" t="s">
        <v>122</v>
      </c>
    </row>
    <row r="31" spans="2:6" x14ac:dyDescent="0.25">
      <c r="B31" s="41" t="s">
        <v>95</v>
      </c>
      <c r="C31" s="42" t="s">
        <v>105</v>
      </c>
      <c r="D31" s="42" t="s">
        <v>15</v>
      </c>
      <c r="E31" s="42" t="s">
        <v>125</v>
      </c>
      <c r="F31" s="44" t="s">
        <v>123</v>
      </c>
    </row>
    <row r="32" spans="2:6" x14ac:dyDescent="0.25">
      <c r="B32" s="41" t="s">
        <v>95</v>
      </c>
      <c r="C32" s="42" t="s">
        <v>105</v>
      </c>
      <c r="D32" s="42" t="s">
        <v>15</v>
      </c>
      <c r="E32" s="42" t="s">
        <v>124</v>
      </c>
      <c r="F32" s="44"/>
    </row>
    <row r="33" spans="2:6" x14ac:dyDescent="0.25">
      <c r="B33" s="41" t="s">
        <v>95</v>
      </c>
      <c r="C33" s="42" t="s">
        <v>105</v>
      </c>
      <c r="D33" s="42" t="s">
        <v>15</v>
      </c>
      <c r="E33" s="42" t="s">
        <v>126</v>
      </c>
      <c r="F33" s="44"/>
    </row>
    <row r="34" spans="2:6" x14ac:dyDescent="0.25">
      <c r="B34" s="41" t="s">
        <v>95</v>
      </c>
      <c r="C34" s="42" t="s">
        <v>105</v>
      </c>
      <c r="D34" s="42" t="s">
        <v>15</v>
      </c>
      <c r="E34" s="42" t="s">
        <v>127</v>
      </c>
      <c r="F34" s="44"/>
    </row>
    <row r="35" spans="2:6" x14ac:dyDescent="0.25">
      <c r="B35" s="41" t="s">
        <v>95</v>
      </c>
      <c r="C35" s="42" t="s">
        <v>105</v>
      </c>
      <c r="D35" s="42" t="s">
        <v>15</v>
      </c>
      <c r="E35" s="42" t="s">
        <v>128</v>
      </c>
      <c r="F35" s="44" t="s">
        <v>132</v>
      </c>
    </row>
    <row r="36" spans="2:6" x14ac:dyDescent="0.25">
      <c r="B36" s="41" t="s">
        <v>95</v>
      </c>
      <c r="C36" s="42" t="s">
        <v>105</v>
      </c>
      <c r="D36" s="42" t="s">
        <v>15</v>
      </c>
      <c r="E36" s="42" t="s">
        <v>133</v>
      </c>
      <c r="F36" s="44"/>
    </row>
    <row r="37" spans="2:6" x14ac:dyDescent="0.25">
      <c r="B37" s="41" t="s">
        <v>99</v>
      </c>
      <c r="C37" s="42" t="s">
        <v>105</v>
      </c>
      <c r="D37" s="42" t="s">
        <v>15</v>
      </c>
      <c r="E37" s="42" t="s">
        <v>134</v>
      </c>
      <c r="F37" s="44" t="s">
        <v>135</v>
      </c>
    </row>
    <row r="38" spans="2:6" x14ac:dyDescent="0.25">
      <c r="B38" s="41" t="s">
        <v>95</v>
      </c>
      <c r="C38" s="42" t="s">
        <v>105</v>
      </c>
      <c r="D38" s="42" t="s">
        <v>15</v>
      </c>
      <c r="E38" s="42" t="s">
        <v>137</v>
      </c>
      <c r="F38" s="44" t="s">
        <v>136</v>
      </c>
    </row>
    <row r="39" spans="2:6" x14ac:dyDescent="0.25">
      <c r="B39" s="41" t="s">
        <v>95</v>
      </c>
      <c r="C39" s="42" t="s">
        <v>105</v>
      </c>
      <c r="D39" s="42" t="s">
        <v>15</v>
      </c>
      <c r="E39" s="42" t="s">
        <v>138</v>
      </c>
      <c r="F39" s="44"/>
    </row>
    <row r="40" spans="2:6" x14ac:dyDescent="0.25">
      <c r="B40" s="41" t="s">
        <v>95</v>
      </c>
      <c r="C40" s="42" t="s">
        <v>105</v>
      </c>
      <c r="D40" s="42" t="s">
        <v>35</v>
      </c>
      <c r="E40" s="42" t="s">
        <v>140</v>
      </c>
      <c r="F40" s="44" t="s">
        <v>139</v>
      </c>
    </row>
    <row r="41" spans="2:6" x14ac:dyDescent="0.25">
      <c r="B41" s="41" t="s">
        <v>95</v>
      </c>
      <c r="C41" s="42" t="s">
        <v>141</v>
      </c>
      <c r="D41" s="42" t="s">
        <v>58</v>
      </c>
      <c r="E41" s="42" t="s">
        <v>143</v>
      </c>
      <c r="F41" s="44" t="s">
        <v>144</v>
      </c>
    </row>
    <row r="42" spans="2:6" x14ac:dyDescent="0.25">
      <c r="B42" s="41" t="s">
        <v>95</v>
      </c>
      <c r="C42" s="42" t="s">
        <v>141</v>
      </c>
      <c r="D42" s="42" t="s">
        <v>58</v>
      </c>
      <c r="E42" s="42" t="s">
        <v>145</v>
      </c>
      <c r="F42" s="44" t="s">
        <v>146</v>
      </c>
    </row>
    <row r="43" spans="2:6" x14ac:dyDescent="0.25">
      <c r="B43" s="41" t="s">
        <v>94</v>
      </c>
      <c r="C43" s="42" t="s">
        <v>141</v>
      </c>
      <c r="D43" s="42" t="s">
        <v>58</v>
      </c>
      <c r="E43" s="42" t="s">
        <v>147</v>
      </c>
      <c r="F43" s="44" t="s">
        <v>148</v>
      </c>
    </row>
    <row r="44" spans="2:6" x14ac:dyDescent="0.25">
      <c r="B44" s="41" t="s">
        <v>95</v>
      </c>
      <c r="C44" s="42" t="s">
        <v>141</v>
      </c>
      <c r="D44" s="42" t="s">
        <v>62</v>
      </c>
      <c r="E44" s="42" t="s">
        <v>150</v>
      </c>
      <c r="F44" s="44" t="s">
        <v>151</v>
      </c>
    </row>
    <row r="45" spans="2:6" x14ac:dyDescent="0.25">
      <c r="B45" s="41" t="s">
        <v>95</v>
      </c>
      <c r="C45" s="42" t="s">
        <v>141</v>
      </c>
      <c r="D45" s="42" t="s">
        <v>62</v>
      </c>
      <c r="E45" s="42" t="s">
        <v>152</v>
      </c>
      <c r="F45" s="44"/>
    </row>
    <row r="46" spans="2:6" x14ac:dyDescent="0.25">
      <c r="B46" s="41" t="s">
        <v>94</v>
      </c>
      <c r="C46" s="42" t="s">
        <v>141</v>
      </c>
      <c r="D46" s="42" t="s">
        <v>62</v>
      </c>
      <c r="E46" s="42" t="s">
        <v>153</v>
      </c>
      <c r="F46" s="44"/>
    </row>
    <row r="47" spans="2:6" x14ac:dyDescent="0.25">
      <c r="B47" s="41" t="s">
        <v>94</v>
      </c>
      <c r="C47" s="42" t="s">
        <v>141</v>
      </c>
      <c r="D47" s="42" t="s">
        <v>62</v>
      </c>
      <c r="E47" s="42" t="s">
        <v>154</v>
      </c>
      <c r="F47" s="44"/>
    </row>
    <row r="48" spans="2:6" x14ac:dyDescent="0.25">
      <c r="B48" s="41" t="s">
        <v>95</v>
      </c>
      <c r="C48" s="42" t="s">
        <v>141</v>
      </c>
      <c r="D48" s="42" t="s">
        <v>62</v>
      </c>
      <c r="E48" s="42" t="s">
        <v>156</v>
      </c>
      <c r="F48" s="44" t="s">
        <v>157</v>
      </c>
    </row>
    <row r="49" spans="2:6" x14ac:dyDescent="0.25">
      <c r="B49" s="41" t="s">
        <v>94</v>
      </c>
      <c r="C49" s="42" t="s">
        <v>141</v>
      </c>
      <c r="D49" s="42" t="s">
        <v>62</v>
      </c>
      <c r="E49" s="42" t="s">
        <v>158</v>
      </c>
      <c r="F49" s="44"/>
    </row>
    <row r="50" spans="2:6" x14ac:dyDescent="0.25">
      <c r="B50" s="41" t="s">
        <v>95</v>
      </c>
      <c r="C50" s="42" t="s">
        <v>268</v>
      </c>
      <c r="D50" s="42" t="s">
        <v>45</v>
      </c>
      <c r="E50" s="42" t="s">
        <v>160</v>
      </c>
      <c r="F50" s="44"/>
    </row>
    <row r="51" spans="2:6" x14ac:dyDescent="0.25">
      <c r="B51" s="41" t="s">
        <v>95</v>
      </c>
      <c r="C51" s="42" t="s">
        <v>268</v>
      </c>
      <c r="D51" s="42" t="s">
        <v>45</v>
      </c>
      <c r="E51" s="42" t="s">
        <v>161</v>
      </c>
      <c r="F51" s="44"/>
    </row>
    <row r="52" spans="2:6" x14ac:dyDescent="0.25">
      <c r="B52" s="41" t="s">
        <v>99</v>
      </c>
      <c r="C52" s="42" t="s">
        <v>268</v>
      </c>
      <c r="D52" s="42" t="s">
        <v>217</v>
      </c>
      <c r="E52" s="42" t="s">
        <v>269</v>
      </c>
      <c r="F52" s="44"/>
    </row>
    <row r="53" spans="2:6" x14ac:dyDescent="0.25">
      <c r="B53" s="41" t="s">
        <v>95</v>
      </c>
      <c r="C53" s="42" t="s">
        <v>268</v>
      </c>
      <c r="D53" s="42" t="s">
        <v>227</v>
      </c>
      <c r="E53" s="42" t="s">
        <v>270</v>
      </c>
      <c r="F53" s="44"/>
    </row>
    <row r="54" spans="2:6" x14ac:dyDescent="0.25">
      <c r="B54" s="41" t="s">
        <v>95</v>
      </c>
      <c r="C54" s="42" t="s">
        <v>268</v>
      </c>
      <c r="D54" s="42" t="s">
        <v>228</v>
      </c>
      <c r="E54" s="42" t="s">
        <v>271</v>
      </c>
      <c r="F54" s="44"/>
    </row>
    <row r="55" spans="2:6" x14ac:dyDescent="0.25">
      <c r="B55" s="41" t="s">
        <v>94</v>
      </c>
      <c r="C55" s="42" t="s">
        <v>268</v>
      </c>
      <c r="D55" s="42" t="s">
        <v>228</v>
      </c>
      <c r="E55" s="42" t="s">
        <v>272</v>
      </c>
      <c r="F55" s="44"/>
    </row>
    <row r="56" spans="2:6" x14ac:dyDescent="0.25">
      <c r="B56" s="41" t="s">
        <v>99</v>
      </c>
      <c r="C56" s="42" t="s">
        <v>268</v>
      </c>
      <c r="D56" s="42" t="s">
        <v>258</v>
      </c>
      <c r="E56" s="42" t="s">
        <v>273</v>
      </c>
      <c r="F56" s="44" t="s">
        <v>274</v>
      </c>
    </row>
    <row r="57" spans="2:6" x14ac:dyDescent="0.25">
      <c r="B57" s="41" t="s">
        <v>99</v>
      </c>
      <c r="C57" s="42" t="s">
        <v>268</v>
      </c>
      <c r="D57" s="42" t="s">
        <v>258</v>
      </c>
      <c r="E57" s="42" t="s">
        <v>275</v>
      </c>
      <c r="F57" s="44" t="s">
        <v>276</v>
      </c>
    </row>
    <row r="58" spans="2:6" x14ac:dyDescent="0.25">
      <c r="B58" s="41" t="s">
        <v>99</v>
      </c>
      <c r="C58" s="42" t="s">
        <v>268</v>
      </c>
      <c r="D58" s="42" t="s">
        <v>258</v>
      </c>
      <c r="E58" s="42" t="s">
        <v>277</v>
      </c>
      <c r="F58" s="44" t="s">
        <v>278</v>
      </c>
    </row>
    <row r="59" spans="2:6" x14ac:dyDescent="0.25">
      <c r="B59" s="41" t="s">
        <v>99</v>
      </c>
      <c r="C59" s="42" t="s">
        <v>268</v>
      </c>
      <c r="D59" s="42" t="s">
        <v>258</v>
      </c>
      <c r="E59" s="42" t="s">
        <v>279</v>
      </c>
      <c r="F59" s="44"/>
    </row>
    <row r="60" spans="2:6" x14ac:dyDescent="0.25">
      <c r="B60" s="41" t="s">
        <v>94</v>
      </c>
      <c r="C60" s="42" t="s">
        <v>268</v>
      </c>
      <c r="D60" s="42" t="s">
        <v>260</v>
      </c>
      <c r="E60" s="42" t="s">
        <v>280</v>
      </c>
      <c r="F60" s="44" t="s">
        <v>281</v>
      </c>
    </row>
    <row r="61" spans="2:6" x14ac:dyDescent="0.25">
      <c r="B61" s="41" t="s">
        <v>94</v>
      </c>
      <c r="C61" s="42" t="s">
        <v>159</v>
      </c>
      <c r="D61" s="42" t="s">
        <v>44</v>
      </c>
      <c r="E61" s="42" t="s">
        <v>162</v>
      </c>
      <c r="F61" s="44" t="s">
        <v>165</v>
      </c>
    </row>
    <row r="62" spans="2:6" x14ac:dyDescent="0.25">
      <c r="B62" s="41" t="s">
        <v>94</v>
      </c>
      <c r="C62" s="42" t="s">
        <v>159</v>
      </c>
      <c r="D62" s="42" t="s">
        <v>44</v>
      </c>
      <c r="E62" s="42" t="s">
        <v>163</v>
      </c>
      <c r="F62" s="44" t="s">
        <v>165</v>
      </c>
    </row>
    <row r="63" spans="2:6" x14ac:dyDescent="0.25">
      <c r="B63" s="41" t="s">
        <v>94</v>
      </c>
      <c r="C63" s="42" t="s">
        <v>159</v>
      </c>
      <c r="D63" s="42" t="s">
        <v>44</v>
      </c>
      <c r="E63" s="42" t="s">
        <v>164</v>
      </c>
      <c r="F63" s="44" t="s">
        <v>166</v>
      </c>
    </row>
    <row r="64" spans="2:6" x14ac:dyDescent="0.25">
      <c r="B64" s="41" t="s">
        <v>94</v>
      </c>
      <c r="C64" s="42" t="s">
        <v>159</v>
      </c>
      <c r="D64" s="42" t="s">
        <v>50</v>
      </c>
      <c r="E64" s="42" t="s">
        <v>167</v>
      </c>
      <c r="F64" s="44" t="s">
        <v>172</v>
      </c>
    </row>
    <row r="65" spans="2:6" x14ac:dyDescent="0.25">
      <c r="B65" s="41" t="s">
        <v>95</v>
      </c>
      <c r="C65" s="42" t="s">
        <v>159</v>
      </c>
      <c r="D65" s="42" t="s">
        <v>50</v>
      </c>
      <c r="E65" s="42" t="s">
        <v>168</v>
      </c>
      <c r="F65" s="44" t="s">
        <v>170</v>
      </c>
    </row>
    <row r="66" spans="2:6" x14ac:dyDescent="0.25">
      <c r="B66" s="41" t="s">
        <v>95</v>
      </c>
      <c r="C66" s="42" t="s">
        <v>159</v>
      </c>
      <c r="D66" s="42" t="s">
        <v>50</v>
      </c>
      <c r="E66" s="42" t="s">
        <v>169</v>
      </c>
      <c r="F66" s="44" t="s">
        <v>171</v>
      </c>
    </row>
    <row r="67" spans="2:6" x14ac:dyDescent="0.25">
      <c r="B67" s="41" t="s">
        <v>94</v>
      </c>
      <c r="C67" s="42" t="s">
        <v>159</v>
      </c>
      <c r="D67" s="42" t="s">
        <v>66</v>
      </c>
      <c r="E67" s="42" t="s">
        <v>173</v>
      </c>
      <c r="F67" s="44"/>
    </row>
    <row r="68" spans="2:6" x14ac:dyDescent="0.25">
      <c r="B68" s="41" t="s">
        <v>94</v>
      </c>
      <c r="C68" s="42" t="s">
        <v>159</v>
      </c>
      <c r="D68" s="42" t="s">
        <v>66</v>
      </c>
      <c r="E68" s="42" t="s">
        <v>174</v>
      </c>
      <c r="F68" s="44"/>
    </row>
    <row r="69" spans="2:6" x14ac:dyDescent="0.25">
      <c r="B69" s="41" t="s">
        <v>94</v>
      </c>
      <c r="C69" s="42" t="s">
        <v>159</v>
      </c>
      <c r="D69" s="42" t="s">
        <v>66</v>
      </c>
      <c r="E69" s="42" t="s">
        <v>175</v>
      </c>
      <c r="F69" s="44"/>
    </row>
    <row r="70" spans="2:6" x14ac:dyDescent="0.25">
      <c r="B70" s="41" t="s">
        <v>99</v>
      </c>
      <c r="C70" s="42" t="s">
        <v>159</v>
      </c>
      <c r="D70" s="42" t="s">
        <v>66</v>
      </c>
      <c r="E70" s="42" t="s">
        <v>176</v>
      </c>
      <c r="F70" s="44"/>
    </row>
    <row r="71" spans="2:6" x14ac:dyDescent="0.25">
      <c r="B71" s="41" t="s">
        <v>94</v>
      </c>
      <c r="C71" s="42" t="s">
        <v>159</v>
      </c>
      <c r="D71" s="42" t="s">
        <v>68</v>
      </c>
      <c r="E71" s="42" t="s">
        <v>179</v>
      </c>
      <c r="F71" s="44" t="s">
        <v>180</v>
      </c>
    </row>
    <row r="72" spans="2:6" x14ac:dyDescent="0.25">
      <c r="B72" s="41" t="s">
        <v>95</v>
      </c>
      <c r="C72" s="42" t="s">
        <v>159</v>
      </c>
      <c r="D72" s="42" t="s">
        <v>68</v>
      </c>
      <c r="E72" s="42" t="s">
        <v>181</v>
      </c>
      <c r="F72" s="44" t="s">
        <v>182</v>
      </c>
    </row>
    <row r="73" spans="2:6" x14ac:dyDescent="0.25">
      <c r="B73" s="41" t="s">
        <v>94</v>
      </c>
      <c r="C73" s="42" t="s">
        <v>159</v>
      </c>
      <c r="D73" s="42" t="s">
        <v>68</v>
      </c>
      <c r="E73" s="42" t="s">
        <v>183</v>
      </c>
      <c r="F73" s="44"/>
    </row>
    <row r="74" spans="2:6" x14ac:dyDescent="0.25">
      <c r="B74" s="41" t="s">
        <v>94</v>
      </c>
      <c r="C74" s="42" t="s">
        <v>159</v>
      </c>
      <c r="D74" s="42" t="s">
        <v>68</v>
      </c>
      <c r="E74" s="42" t="s">
        <v>185</v>
      </c>
      <c r="F74" s="44"/>
    </row>
    <row r="75" spans="2:6" x14ac:dyDescent="0.25">
      <c r="B75" s="41" t="s">
        <v>94</v>
      </c>
      <c r="C75" s="42" t="s">
        <v>159</v>
      </c>
      <c r="D75" s="42" t="s">
        <v>68</v>
      </c>
      <c r="E75" s="42" t="s">
        <v>184</v>
      </c>
      <c r="F75" s="44"/>
    </row>
    <row r="76" spans="2:6" x14ac:dyDescent="0.25">
      <c r="B76" s="45" t="s">
        <v>94</v>
      </c>
      <c r="C76" s="46" t="s">
        <v>159</v>
      </c>
      <c r="D76" s="46" t="s">
        <v>68</v>
      </c>
      <c r="E76" s="46" t="s">
        <v>186</v>
      </c>
      <c r="F76" s="47" t="s">
        <v>187</v>
      </c>
    </row>
  </sheetData>
  <autoFilter ref="B2:F7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B2:N13"/>
  <sheetViews>
    <sheetView showGridLines="0" zoomScaleNormal="100" workbookViewId="0">
      <selection activeCell="G21" sqref="G21"/>
    </sheetView>
  </sheetViews>
  <sheetFormatPr defaultRowHeight="15" x14ac:dyDescent="0.25"/>
  <cols>
    <col min="1" max="1" width="2.85546875" customWidth="1"/>
    <col min="12" max="14" width="17.140625" customWidth="1"/>
  </cols>
  <sheetData>
    <row r="2" spans="2:14" x14ac:dyDescent="0.25">
      <c r="B2" s="64" t="s">
        <v>203</v>
      </c>
      <c r="C2" s="65"/>
      <c r="D2" s="65"/>
      <c r="E2" s="65"/>
      <c r="F2" s="65"/>
      <c r="G2" s="65"/>
      <c r="H2" s="65"/>
      <c r="I2" s="66"/>
      <c r="J2" s="51" t="s">
        <v>202</v>
      </c>
      <c r="L2" s="48" t="s">
        <v>189</v>
      </c>
      <c r="M2" s="48" t="s">
        <v>200</v>
      </c>
      <c r="N2" s="48" t="s">
        <v>201</v>
      </c>
    </row>
    <row r="3" spans="2:14" x14ac:dyDescent="0.25">
      <c r="B3" s="52" t="s">
        <v>204</v>
      </c>
      <c r="C3" s="25"/>
      <c r="D3" s="25"/>
      <c r="E3" s="25"/>
      <c r="F3" s="25"/>
      <c r="G3" s="25"/>
      <c r="H3" s="25"/>
      <c r="I3" s="53"/>
      <c r="J3" s="49">
        <v>5</v>
      </c>
      <c r="L3" s="49" t="s">
        <v>190</v>
      </c>
      <c r="M3" s="49">
        <v>370</v>
      </c>
      <c r="N3" s="49">
        <v>870</v>
      </c>
    </row>
    <row r="4" spans="2:14" x14ac:dyDescent="0.25">
      <c r="B4" s="54" t="s">
        <v>205</v>
      </c>
      <c r="C4" s="25"/>
      <c r="D4" s="25"/>
      <c r="E4" s="25"/>
      <c r="F4" s="25"/>
      <c r="G4" s="25"/>
      <c r="H4" s="25"/>
      <c r="I4" s="53"/>
      <c r="J4" s="49">
        <v>5</v>
      </c>
      <c r="L4" s="49" t="s">
        <v>191</v>
      </c>
      <c r="M4" s="49">
        <v>215</v>
      </c>
      <c r="N4" s="49">
        <v>650</v>
      </c>
    </row>
    <row r="5" spans="2:14" x14ac:dyDescent="0.25">
      <c r="B5" s="54" t="s">
        <v>206</v>
      </c>
      <c r="C5" s="25"/>
      <c r="D5" s="25"/>
      <c r="E5" s="25"/>
      <c r="F5" s="25"/>
      <c r="G5" s="25"/>
      <c r="H5" s="25"/>
      <c r="I5" s="53"/>
      <c r="J5" s="49">
        <v>5</v>
      </c>
      <c r="L5" s="49" t="s">
        <v>192</v>
      </c>
      <c r="M5" s="49">
        <v>203</v>
      </c>
      <c r="N5" s="49">
        <v>982</v>
      </c>
    </row>
    <row r="6" spans="2:14" x14ac:dyDescent="0.25">
      <c r="B6" s="54" t="s">
        <v>207</v>
      </c>
      <c r="C6" s="25"/>
      <c r="D6" s="25"/>
      <c r="E6" s="25"/>
      <c r="F6" s="25"/>
      <c r="G6" s="25"/>
      <c r="H6" s="25"/>
      <c r="I6" s="53"/>
      <c r="J6" s="49">
        <v>2</v>
      </c>
      <c r="L6" s="49" t="s">
        <v>193</v>
      </c>
      <c r="M6" s="49">
        <v>219</v>
      </c>
      <c r="N6" s="49">
        <v>673</v>
      </c>
    </row>
    <row r="7" spans="2:14" x14ac:dyDescent="0.25">
      <c r="B7" s="54" t="s">
        <v>215</v>
      </c>
      <c r="C7" s="25"/>
      <c r="D7" s="25"/>
      <c r="E7" s="25"/>
      <c r="F7" s="25"/>
      <c r="G7" s="25"/>
      <c r="H7" s="25"/>
      <c r="I7" s="53"/>
      <c r="J7" s="49">
        <v>3</v>
      </c>
      <c r="L7" s="49" t="s">
        <v>194</v>
      </c>
      <c r="M7" s="49">
        <v>393</v>
      </c>
      <c r="N7" s="49">
        <v>877</v>
      </c>
    </row>
    <row r="8" spans="2:14" x14ac:dyDescent="0.25">
      <c r="B8" s="54" t="s">
        <v>208</v>
      </c>
      <c r="C8" s="25"/>
      <c r="D8" s="25"/>
      <c r="E8" s="25"/>
      <c r="F8" s="25"/>
      <c r="G8" s="25"/>
      <c r="H8" s="25"/>
      <c r="I8" s="53"/>
      <c r="J8" s="49">
        <v>5</v>
      </c>
      <c r="L8" s="49" t="s">
        <v>195</v>
      </c>
      <c r="M8" s="49">
        <v>411</v>
      </c>
      <c r="N8" s="49">
        <v>917</v>
      </c>
    </row>
    <row r="9" spans="2:14" x14ac:dyDescent="0.25">
      <c r="B9" s="54" t="s">
        <v>209</v>
      </c>
      <c r="C9" s="25"/>
      <c r="D9" s="25"/>
      <c r="E9" s="25"/>
      <c r="F9" s="25"/>
      <c r="G9" s="25"/>
      <c r="H9" s="25"/>
      <c r="I9" s="53"/>
      <c r="J9" s="49">
        <v>5</v>
      </c>
      <c r="L9" s="49" t="s">
        <v>196</v>
      </c>
      <c r="M9" s="49">
        <v>399</v>
      </c>
      <c r="N9" s="49">
        <v>769</v>
      </c>
    </row>
    <row r="10" spans="2:14" x14ac:dyDescent="0.25">
      <c r="B10" s="54" t="s">
        <v>210</v>
      </c>
      <c r="C10" s="25"/>
      <c r="D10" s="25"/>
      <c r="E10" s="25"/>
      <c r="F10" s="25"/>
      <c r="G10" s="25"/>
      <c r="H10" s="25"/>
      <c r="I10" s="53"/>
      <c r="J10" s="49">
        <v>10</v>
      </c>
      <c r="L10" s="49" t="s">
        <v>197</v>
      </c>
      <c r="M10" s="49">
        <v>483</v>
      </c>
      <c r="N10" s="49">
        <v>954</v>
      </c>
    </row>
    <row r="11" spans="2:14" x14ac:dyDescent="0.25">
      <c r="B11" s="54" t="s">
        <v>211</v>
      </c>
      <c r="C11" s="25"/>
      <c r="D11" s="25"/>
      <c r="E11" s="25"/>
      <c r="F11" s="25"/>
      <c r="G11" s="25"/>
      <c r="H11" s="25"/>
      <c r="I11" s="53"/>
      <c r="J11" s="49">
        <v>5</v>
      </c>
      <c r="L11" s="49" t="s">
        <v>198</v>
      </c>
      <c r="M11" s="49">
        <v>378</v>
      </c>
      <c r="N11" s="49">
        <v>709</v>
      </c>
    </row>
    <row r="12" spans="2:14" x14ac:dyDescent="0.25">
      <c r="B12" s="54" t="s">
        <v>212</v>
      </c>
      <c r="C12" s="25"/>
      <c r="D12" s="25"/>
      <c r="E12" s="25"/>
      <c r="F12" s="25"/>
      <c r="G12" s="25"/>
      <c r="H12" s="25"/>
      <c r="I12" s="53"/>
      <c r="J12" s="49">
        <v>5</v>
      </c>
      <c r="L12" s="50" t="s">
        <v>199</v>
      </c>
      <c r="M12" s="50">
        <v>239</v>
      </c>
      <c r="N12" s="50">
        <v>831</v>
      </c>
    </row>
    <row r="13" spans="2:14" x14ac:dyDescent="0.25">
      <c r="B13" s="55" t="s">
        <v>213</v>
      </c>
      <c r="C13" s="56"/>
      <c r="D13" s="56"/>
      <c r="E13" s="56"/>
      <c r="F13" s="56"/>
      <c r="G13" s="56"/>
      <c r="H13" s="56"/>
      <c r="I13" s="57"/>
      <c r="J13" s="58">
        <f>SUM(J3:J12)</f>
        <v>50</v>
      </c>
    </row>
  </sheetData>
  <mergeCells count="1">
    <mergeCell ref="B2:I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Basic_Cell_Ref</vt:lpstr>
      <vt:lpstr>Find_Value</vt:lpstr>
      <vt:lpstr>Cell_Formula</vt:lpstr>
      <vt:lpstr>Rng_Operation</vt:lpstr>
      <vt:lpstr>Other</vt:lpstr>
      <vt:lpstr>Summary</vt:lpstr>
      <vt:lpstr>Homework</vt:lpstr>
      <vt:lpstr>Rng_Operation!Criteria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Mingmin, Zhu</dc:creator>
  <cp:lastModifiedBy>Mingmin, Zhu</cp:lastModifiedBy>
  <dcterms:created xsi:type="dcterms:W3CDTF">2015-03-18T02:37:28Z</dcterms:created>
  <dcterms:modified xsi:type="dcterms:W3CDTF">2015-03-31T03:27:31Z</dcterms:modified>
</cp:coreProperties>
</file>